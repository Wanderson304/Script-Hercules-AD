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ript-Hercules\Modules\00_Mod_Model\01_ETL\"/>
    </mc:Choice>
  </mc:AlternateContent>
  <xr:revisionPtr revIDLastSave="0" documentId="13_ncr:1_{04329226-8A0F-4A96-A083-92ED4D30895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latorio" sheetId="2" r:id="rId1"/>
    <sheet name="Dashboard" sheetId="1" r:id="rId2"/>
    <sheet name="Config" sheetId="3" r:id="rId3"/>
  </sheets>
  <externalReferences>
    <externalReference r:id="rId4"/>
  </externalReference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" l="1"/>
  <c r="D7" i="3"/>
  <c r="D6" i="3"/>
  <c r="U3" i="3"/>
</calcChain>
</file>

<file path=xl/sharedStrings.xml><?xml version="1.0" encoding="utf-8"?>
<sst xmlns="http://schemas.openxmlformats.org/spreadsheetml/2006/main" count="81" uniqueCount="52">
  <si>
    <t>DistinguishedName</t>
  </si>
  <si>
    <t>GivenName</t>
  </si>
  <si>
    <t>Name</t>
  </si>
  <si>
    <t>ObjectClass</t>
  </si>
  <si>
    <t>ObjectGUID</t>
  </si>
  <si>
    <t>SamAccountName</t>
  </si>
  <si>
    <t>SID</t>
  </si>
  <si>
    <t>Surname</t>
  </si>
  <si>
    <t>UserPrincipalName</t>
  </si>
  <si>
    <t>PropertyNames</t>
  </si>
  <si>
    <t>AddedProperties</t>
  </si>
  <si>
    <t>RemovedProperties</t>
  </si>
  <si>
    <t>ModifiedProperties</t>
  </si>
  <si>
    <t>PropertyCount</t>
  </si>
  <si>
    <t>user</t>
  </si>
  <si>
    <t>b8dc7cb8-edb4-4431-b472-7d4381b742c2</t>
  </si>
  <si>
    <t>S-1-5-21-925037465-2226837016-4004537459-1007</t>
  </si>
  <si>
    <t>System.Collections.Generic.SortedDictionary`2+KeyCollection[System.String,Microsoft.ActiveDirectory.Management.ADPropertyValueCollection]</t>
  </si>
  <si>
    <t>System.Collections.Generic.HashSet`1[System.String]</t>
  </si>
  <si>
    <t>7bdafce7-b0a9-40c1-bb63-0dc7690ee420</t>
  </si>
  <si>
    <t>S-1-5-21-925037465-2226837016-4004537459-500</t>
  </si>
  <si>
    <t>df1e31bd-1e6d-4004-8daf-22815a3f25f3</t>
  </si>
  <si>
    <t>S-1-5-21-925037465-2226837016-4004537459-5429</t>
  </si>
  <si>
    <t>0d9c365c-4843-49a1-abc0-a546a5f77ded</t>
  </si>
  <si>
    <t>S-1-5-21-925037465-2226837016-4004537459-13703</t>
  </si>
  <si>
    <t>Status</t>
  </si>
  <si>
    <t>Ativos</t>
  </si>
  <si>
    <t>Desativados</t>
  </si>
  <si>
    <t>Total</t>
  </si>
  <si>
    <t>Atenção</t>
  </si>
  <si>
    <t>esta aba ficam as configurações e formula desta planilha. Você pode ajusta coforme sua necessidade</t>
  </si>
  <si>
    <t>Ativado</t>
  </si>
  <si>
    <t>Desativado</t>
  </si>
  <si>
    <t>Data</t>
  </si>
  <si>
    <t>Cálculo</t>
  </si>
  <si>
    <t>Parametros</t>
  </si>
  <si>
    <t/>
  </si>
  <si>
    <t>gpontes</t>
  </si>
  <si>
    <t>Caetano Pontes</t>
  </si>
  <si>
    <t>TSNET</t>
  </si>
  <si>
    <t>User-01</t>
  </si>
  <si>
    <t>CN=User-01,CN=Users,DC=contoso,DC=br</t>
  </si>
  <si>
    <t>User-02</t>
  </si>
  <si>
    <t>CN=User-02,OU=Verde Gaia,OU=Usuarios_Desativados,DC=contoso,DC=br</t>
  </si>
  <si>
    <t>User-03 Caetano Pontes</t>
  </si>
  <si>
    <t>User-03</t>
  </si>
  <si>
    <t>CN=User-03,OU=Verde Gaia,OU=Usuarios_Desativados,DC=contoso,DC=br</t>
  </si>
  <si>
    <t>gpontes@contoso.com.br</t>
  </si>
  <si>
    <t>User-04 TSNET</t>
  </si>
  <si>
    <t>User-04</t>
  </si>
  <si>
    <t>CN=User-04,CN=Users,DC=contoso,DC=br</t>
  </si>
  <si>
    <t>User-04@contoso.br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</si>
</sst>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00B0F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2" fillId="2" borderId="0" xfId="0" applyFont="1" applyFill="1"/>
    <xf numFmtId="14" fontId="0" fillId="2" borderId="0" xfId="0" applyNumberFormat="1" applyFill="1"/>
    <xf numFmtId="14" fontId="1" fillId="2" borderId="0" xfId="0" applyNumberFormat="1" applyFont="1" applyFill="1"/>
    <xf numFmtId="0" fontId="0" fillId="3" borderId="0" xfId="0" applyFill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Ativos x desativados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Config!$C$6</c:f>
              <c:strCache>
                <c:ptCount val="1"/>
                <c:pt idx="0">
                  <c:v>Ativos</c:v>
                </c:pt>
              </c:strCache>
            </c:strRef>
          </c:tx>
          <c:spPr>
            <a:noFill/>
            <a:ln w="9525" cap="flat" cmpd="sng" algn="ctr">
              <a:solidFill>
                <a:srgbClr val="92D05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6-4008-9E7B-11DBF3E6CFAA}"/>
            </c:ext>
          </c:extLst>
        </c:ser>
        <c:ser>
          <c:idx val="1"/>
          <c:order val="1"/>
          <c:tx>
            <c:strRef>
              <c:f>Config!$C$7</c:f>
              <c:strCache>
                <c:ptCount val="1"/>
                <c:pt idx="0">
                  <c:v>Desativados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6-4008-9E7B-11DBF3E6CF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47193807"/>
        <c:axId val="647194767"/>
      </c:barChart>
      <c:catAx>
        <c:axId val="64719380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4767"/>
        <c:crosses val="autoZero"/>
        <c:auto val="1"/>
        <c:lblAlgn val="ctr"/>
        <c:lblOffset val="100"/>
        <c:noMultiLvlLbl val="0"/>
      </c:catAx>
      <c:valAx>
        <c:axId val="6471947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19052</xdr:colOff>
      <xdr:row>0</xdr:row>
      <xdr:rowOff>313345</xdr:rowOff>
    </xdr:from>
    <xdr:to>
      <xdr:col>2</xdr:col>
      <xdr:colOff>381979</xdr:colOff>
      <xdr:row>0</xdr:row>
      <xdr:rowOff>676272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20BB8-738C-97AA-6D40-22360A2D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2" y="31334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3</xdr:col>
      <xdr:colOff>57150</xdr:colOff>
      <xdr:row>0</xdr:row>
      <xdr:rowOff>304315</xdr:rowOff>
    </xdr:from>
    <xdr:to>
      <xdr:col>3</xdr:col>
      <xdr:colOff>447549</xdr:colOff>
      <xdr:row>0</xdr:row>
      <xdr:rowOff>694714</xdr:rowOff>
    </xdr:to>
    <xdr:pic macro="[0]!Todos_usuarios">
      <xdr:nvPicPr>
        <xdr:cNvPr id="5" name="Imagem 4">
          <a:extLst>
            <a:ext uri="{FF2B5EF4-FFF2-40B4-BE49-F238E27FC236}">
              <a16:creationId xmlns:a16="http://schemas.microsoft.com/office/drawing/2014/main" id="{69B98E3F-27F2-0980-E856-BCF77E78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0" y="30431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169051</xdr:colOff>
      <xdr:row>0</xdr:row>
      <xdr:rowOff>304800</xdr:rowOff>
    </xdr:from>
    <xdr:to>
      <xdr:col>4</xdr:col>
      <xdr:colOff>575614</xdr:colOff>
      <xdr:row>0</xdr:row>
      <xdr:rowOff>711363</xdr:rowOff>
    </xdr:to>
    <xdr:pic>
      <xdr:nvPicPr>
        <xdr:cNvPr id="7" name="Imagem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27BB91D-8D76-AC5E-094F-3E212314A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451" y="30480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9</xdr:col>
      <xdr:colOff>238125</xdr:colOff>
      <xdr:row>2</xdr:row>
      <xdr:rowOff>66675</xdr:rowOff>
    </xdr:from>
    <xdr:to>
      <xdr:col>12</xdr:col>
      <xdr:colOff>47625</xdr:colOff>
      <xdr:row>14</xdr:row>
      <xdr:rowOff>123825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0B41762-19C4-031F-63EE-E393157AF618}"/>
            </a:ext>
          </a:extLst>
        </xdr:cNvPr>
        <xdr:cNvGrpSpPr/>
      </xdr:nvGrpSpPr>
      <xdr:grpSpPr>
        <a:xfrm>
          <a:off x="5724525" y="1028700"/>
          <a:ext cx="1638300" cy="2352675"/>
          <a:chOff x="5724525" y="1028700"/>
          <a:chExt cx="1638300" cy="2352675"/>
        </a:xfrm>
      </xdr:grpSpPr>
      <xdr:sp macro="" textlink="Config!D8">
        <xdr:nvSpPr>
          <xdr:cNvPr id="10" name="Elipse 9">
            <a:extLst>
              <a:ext uri="{FF2B5EF4-FFF2-40B4-BE49-F238E27FC236}">
                <a16:creationId xmlns:a16="http://schemas.microsoft.com/office/drawing/2014/main" id="{29905808-04D2-A17D-689F-FF70ED449619}"/>
              </a:ext>
            </a:extLst>
          </xdr:cNvPr>
          <xdr:cNvSpPr/>
        </xdr:nvSpPr>
        <xdr:spPr>
          <a:xfrm>
            <a:off x="5724525" y="1028700"/>
            <a:ext cx="1638300" cy="1530485"/>
          </a:xfrm>
          <a:prstGeom prst="ellipse">
            <a:avLst/>
          </a:prstGeom>
          <a:noFill/>
          <a:ln w="101600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DE8028-8952-41B7-A7A0-9380E0A06437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4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E3089E4-BC12-EB98-65BD-1EE14657B5CF}"/>
              </a:ext>
            </a:extLst>
          </xdr:cNvPr>
          <xdr:cNvSpPr txBox="1"/>
        </xdr:nvSpPr>
        <xdr:spPr>
          <a:xfrm>
            <a:off x="6210300" y="2635709"/>
            <a:ext cx="6477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Total</a:t>
            </a:r>
          </a:p>
        </xdr:txBody>
      </xdr:sp>
      <xdr:sp macro="[0]!Todos_usuarios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FA17408F-4158-4D1A-8F74-0DBD2202B006}"/>
              </a:ext>
            </a:extLst>
          </xdr:cNvPr>
          <xdr:cNvSpPr txBox="1"/>
        </xdr:nvSpPr>
        <xdr:spPr>
          <a:xfrm>
            <a:off x="5876925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13</xdr:col>
      <xdr:colOff>323850</xdr:colOff>
      <xdr:row>2</xdr:row>
      <xdr:rowOff>66675</xdr:rowOff>
    </xdr:from>
    <xdr:to>
      <xdr:col>16</xdr:col>
      <xdr:colOff>133350</xdr:colOff>
      <xdr:row>14</xdr:row>
      <xdr:rowOff>123825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C3BBE380-D585-15D5-67A6-5AB54865DA4E}"/>
            </a:ext>
          </a:extLst>
        </xdr:cNvPr>
        <xdr:cNvGrpSpPr/>
      </xdr:nvGrpSpPr>
      <xdr:grpSpPr>
        <a:xfrm>
          <a:off x="8248650" y="1028700"/>
          <a:ext cx="1638300" cy="2352675"/>
          <a:chOff x="8248650" y="1028700"/>
          <a:chExt cx="1638300" cy="2352675"/>
        </a:xfrm>
      </xdr:grpSpPr>
      <xdr:sp macro="" textlink="Config!D6">
        <xdr:nvSpPr>
          <xdr:cNvPr id="24" name="Elipse 23">
            <a:extLst>
              <a:ext uri="{FF2B5EF4-FFF2-40B4-BE49-F238E27FC236}">
                <a16:creationId xmlns:a16="http://schemas.microsoft.com/office/drawing/2014/main" id="{B5BFAD6E-E1BE-404B-47DA-FF2E29C4C6EE}"/>
              </a:ext>
            </a:extLst>
          </xdr:cNvPr>
          <xdr:cNvSpPr/>
        </xdr:nvSpPr>
        <xdr:spPr>
          <a:xfrm>
            <a:off x="8248650" y="1028700"/>
            <a:ext cx="1638300" cy="1530485"/>
          </a:xfrm>
          <a:prstGeom prst="ellipse">
            <a:avLst/>
          </a:prstGeom>
          <a:noFill/>
          <a:ln w="101600">
            <a:solidFill>
              <a:srgbClr val="92D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BC05E9-2CC3-4312-91FF-A70DEF8364D8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EB4972E-8077-9078-2E85-3B7CA3AC9712}"/>
              </a:ext>
            </a:extLst>
          </xdr:cNvPr>
          <xdr:cNvSpPr txBox="1"/>
        </xdr:nvSpPr>
        <xdr:spPr>
          <a:xfrm>
            <a:off x="8401050" y="2645275"/>
            <a:ext cx="12573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500">
                <a:solidFill>
                  <a:schemeClr val="bg1"/>
                </a:solidFill>
              </a:rPr>
              <a:t>Ativos</a:t>
            </a:r>
          </a:p>
        </xdr:txBody>
      </xdr:sp>
      <xdr:sp macro="[0]!usuarios_ativos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02BD81B-B124-E057-E97E-364E082FAE4D}"/>
              </a:ext>
            </a:extLst>
          </xdr:cNvPr>
          <xdr:cNvSpPr txBox="1"/>
        </xdr:nvSpPr>
        <xdr:spPr>
          <a:xfrm>
            <a:off x="8401050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17</xdr:col>
      <xdr:colOff>457200</xdr:colOff>
      <xdr:row>2</xdr:row>
      <xdr:rowOff>57150</xdr:rowOff>
    </xdr:from>
    <xdr:to>
      <xdr:col>20</xdr:col>
      <xdr:colOff>266700</xdr:colOff>
      <xdr:row>14</xdr:row>
      <xdr:rowOff>114300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FF55F61C-E143-B223-6FC8-200F5548A5C3}"/>
            </a:ext>
          </a:extLst>
        </xdr:cNvPr>
        <xdr:cNvGrpSpPr/>
      </xdr:nvGrpSpPr>
      <xdr:grpSpPr>
        <a:xfrm>
          <a:off x="10820400" y="1019175"/>
          <a:ext cx="1638300" cy="2352675"/>
          <a:chOff x="10820400" y="1019175"/>
          <a:chExt cx="1638300" cy="2352675"/>
        </a:xfrm>
      </xdr:grpSpPr>
      <xdr:sp macro="" textlink="Config!D7">
        <xdr:nvSpPr>
          <xdr:cNvPr id="28" name="Elipse 27">
            <a:extLst>
              <a:ext uri="{FF2B5EF4-FFF2-40B4-BE49-F238E27FC236}">
                <a16:creationId xmlns:a16="http://schemas.microsoft.com/office/drawing/2014/main" id="{C23714DE-8FE6-C11F-E73E-D6EB891C7CE6}"/>
              </a:ext>
            </a:extLst>
          </xdr:cNvPr>
          <xdr:cNvSpPr/>
        </xdr:nvSpPr>
        <xdr:spPr>
          <a:xfrm>
            <a:off x="10820400" y="1019175"/>
            <a:ext cx="1638300" cy="1530485"/>
          </a:xfrm>
          <a:prstGeom prst="ellipse">
            <a:avLst/>
          </a:prstGeom>
          <a:noFill/>
          <a:ln w="1016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216571F-9FD1-4738-A112-C49122234E83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CF3BC3-4776-7BE7-FC0E-387457DE8A85}"/>
              </a:ext>
            </a:extLst>
          </xdr:cNvPr>
          <xdr:cNvSpPr txBox="1"/>
        </xdr:nvSpPr>
        <xdr:spPr>
          <a:xfrm>
            <a:off x="11049000" y="2645315"/>
            <a:ext cx="123825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Desativados</a:t>
            </a:r>
          </a:p>
        </xdr:txBody>
      </xdr:sp>
      <xdr:sp macro="[0]!usuarios_desativados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7F2D9C8-FB73-9EFF-2619-036EC625A4BA}"/>
              </a:ext>
            </a:extLst>
          </xdr:cNvPr>
          <xdr:cNvSpPr txBox="1"/>
        </xdr:nvSpPr>
        <xdr:spPr>
          <a:xfrm>
            <a:off x="10972800" y="3104015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 editAs="absolute">
    <xdr:from>
      <xdr:col>6</xdr:col>
      <xdr:colOff>561974</xdr:colOff>
      <xdr:row>0</xdr:row>
      <xdr:rowOff>428625</xdr:rowOff>
    </xdr:from>
    <xdr:to>
      <xdr:col>16</xdr:col>
      <xdr:colOff>104775</xdr:colOff>
      <xdr:row>1</xdr:row>
      <xdr:rowOff>76200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7FEEFD7-A339-4032-A66D-2AEC23B6D115}"/>
            </a:ext>
          </a:extLst>
        </xdr:cNvPr>
        <xdr:cNvSpPr txBox="1"/>
      </xdr:nvSpPr>
      <xdr:spPr>
        <a:xfrm>
          <a:off x="4219574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</a:t>
          </a:r>
          <a:r>
            <a:rPr lang="pt-BR" sz="1500" baseline="0">
              <a:solidFill>
                <a:schemeClr val="accent4"/>
              </a:solidFill>
            </a:rPr>
            <a:t>??????</a:t>
          </a:r>
          <a:r>
            <a:rPr lang="pt-BR" sz="1500" baseline="0">
              <a:solidFill>
                <a:schemeClr val="bg1"/>
              </a:solidFill>
            </a:rPr>
            <a:t>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57150</xdr:colOff>
      <xdr:row>1</xdr:row>
      <xdr:rowOff>166687</xdr:rowOff>
    </xdr:from>
    <xdr:to>
      <xdr:col>9</xdr:col>
      <xdr:colOff>80962</xdr:colOff>
      <xdr:row>14</xdr:row>
      <xdr:rowOff>161925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1C918DC7-E1FD-6E9B-64B1-76A58DA3B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Config!U3">
      <xdr:nvSpPr>
        <xdr:cNvPr id="40" name="CaixaDeTexto 39">
          <a:extLst>
            <a:ext uri="{FF2B5EF4-FFF2-40B4-BE49-F238E27FC236}">
              <a16:creationId xmlns:a16="http://schemas.microsoft.com/office/drawing/2014/main" id="{C88E8350-8D27-4113-86BF-450D2624FAAA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23/02/2025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314325</xdr:colOff>
      <xdr:row>0</xdr:row>
      <xdr:rowOff>285750</xdr:rowOff>
    </xdr:from>
    <xdr:to>
      <xdr:col>6</xdr:col>
      <xdr:colOff>114300</xdr:colOff>
      <xdr:row>0</xdr:row>
      <xdr:rowOff>695325</xdr:rowOff>
    </xdr:to>
    <xdr:pic macro="[0]!Módulo2.update_all">
      <xdr:nvPicPr>
        <xdr:cNvPr id="2" name="Imagem 1">
          <a:extLst>
            <a:ext uri="{FF2B5EF4-FFF2-40B4-BE49-F238E27FC236}">
              <a16:creationId xmlns:a16="http://schemas.microsoft.com/office/drawing/2014/main" id="{B24CD820-9703-4188-83A8-F9D1193C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325" y="2857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19049</xdr:colOff>
      <xdr:row>0</xdr:row>
      <xdr:rowOff>428625</xdr:rowOff>
    </xdr:from>
    <xdr:to>
      <xdr:col>16</xdr:col>
      <xdr:colOff>171450</xdr:colOff>
      <xdr:row>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E52B2D7-90F3-4686-A31E-FE66B73BA237}"/>
            </a:ext>
          </a:extLst>
        </xdr:cNvPr>
        <xdr:cNvSpPr txBox="1"/>
      </xdr:nvSpPr>
      <xdr:spPr>
        <a:xfrm>
          <a:off x="4429124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USUÁRIOS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$X$16">
      <xdr:nvSpPr>
        <xdr:cNvPr id="3" name="CaixaDeTexto 2">
          <a:extLst>
            <a:ext uri="{FF2B5EF4-FFF2-40B4-BE49-F238E27FC236}">
              <a16:creationId xmlns:a16="http://schemas.microsoft.com/office/drawing/2014/main" id="{33EE6708-5CD2-4578-B3C4-F2E1FB71F720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177C5EE-0674-45DB-8837-DD15F5A080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28575</xdr:colOff>
      <xdr:row>0</xdr:row>
      <xdr:rowOff>313830</xdr:rowOff>
    </xdr:from>
    <xdr:to>
      <xdr:col>2</xdr:col>
      <xdr:colOff>391502</xdr:colOff>
      <xdr:row>0</xdr:row>
      <xdr:rowOff>676757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0A834E-30E8-45E0-81B3-56015652A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313830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676273</xdr:colOff>
      <xdr:row>0</xdr:row>
      <xdr:rowOff>304800</xdr:rowOff>
    </xdr:from>
    <xdr:to>
      <xdr:col>3</xdr:col>
      <xdr:colOff>314197</xdr:colOff>
      <xdr:row>0</xdr:row>
      <xdr:rowOff>695199</xdr:rowOff>
    </xdr:to>
    <xdr:pic macro="[0]!Todos_usuarios">
      <xdr:nvPicPr>
        <xdr:cNvPr id="5" name="Imagem 4">
          <a:extLst>
            <a:ext uri="{FF2B5EF4-FFF2-40B4-BE49-F238E27FC236}">
              <a16:creationId xmlns:a16="http://schemas.microsoft.com/office/drawing/2014/main" id="{CF2CFBF7-226D-4D7A-A574-E30B4201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3" y="304800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35699</xdr:colOff>
      <xdr:row>0</xdr:row>
      <xdr:rowOff>305285</xdr:rowOff>
    </xdr:from>
    <xdr:to>
      <xdr:col>4</xdr:col>
      <xdr:colOff>442262</xdr:colOff>
      <xdr:row>0</xdr:row>
      <xdr:rowOff>711848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39FDE2-9D68-4845-BEB5-E9A3F416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974" y="305285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19</xdr:col>
      <xdr:colOff>47625</xdr:colOff>
      <xdr:row>0</xdr:row>
      <xdr:rowOff>533400</xdr:rowOff>
    </xdr:from>
    <xdr:to>
      <xdr:col>21</xdr:col>
      <xdr:colOff>28575</xdr:colOff>
      <xdr:row>1</xdr:row>
      <xdr:rowOff>39235</xdr:rowOff>
    </xdr:to>
    <xdr:sp macro="" textlink="Config!U3">
      <xdr:nvSpPr>
        <xdr:cNvPr id="7" name="CaixaDeTexto 6">
          <a:extLst>
            <a:ext uri="{FF2B5EF4-FFF2-40B4-BE49-F238E27FC236}">
              <a16:creationId xmlns:a16="http://schemas.microsoft.com/office/drawing/2014/main" id="{DF2F4825-0D6A-4C4C-936B-0205E4603D71}"/>
            </a:ext>
          </a:extLst>
        </xdr:cNvPr>
        <xdr:cNvSpPr txBox="1"/>
      </xdr:nvSpPr>
      <xdr:spPr>
        <a:xfrm>
          <a:off x="11772900" y="533400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23/02/2025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123825</xdr:colOff>
      <xdr:row>0</xdr:row>
      <xdr:rowOff>285750</xdr:rowOff>
    </xdr:from>
    <xdr:to>
      <xdr:col>5</xdr:col>
      <xdr:colOff>533400</xdr:colOff>
      <xdr:row>0</xdr:row>
      <xdr:rowOff>695325</xdr:rowOff>
    </xdr:to>
    <xdr:pic macro="[1]!update_all">
      <xdr:nvPicPr>
        <xdr:cNvPr id="8" name="Imagem 7">
          <a:extLst>
            <a:ext uri="{FF2B5EF4-FFF2-40B4-BE49-F238E27FC236}">
              <a16:creationId xmlns:a16="http://schemas.microsoft.com/office/drawing/2014/main" id="{BAC79626-652F-4B62-A911-66E8DE5F9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2857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cript-Hercules\Modules\02_Mod_Groups_and_OUs\01_Groups\01_Com_etl\01_Report_todos_os_grupos\Report_todos_os_grupos.xlsm" TargetMode="External"/><Relationship Id="rId1" Type="http://schemas.openxmlformats.org/officeDocument/2006/relationships/externalLinkPath" Target="/Script-Hercules/Modules/02_Mod_Groups_and_OUs/01_Groups/01_Com_etl/01_Report_todos_os_grupos/Report_todos_os_grup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latorio_p1"/>
      <sheetName val="Relatorio_p2"/>
      <sheetName val="Relatorio_p3"/>
      <sheetName val="Dashboard"/>
      <sheetName val="menu_relatorios"/>
      <sheetName val="Config"/>
      <sheetName val="Report_todos_os_grupos"/>
    </sheetNames>
    <definedNames>
      <definedName name="update_all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5CD7E4-DE4F-4FCB-94AA-7B03CDBEA918}" name="Relatorio_" displayName="Relatorio_" ref="A1:O5" totalsRowShown="0">
  <autoFilter ref="A1:O5" xr:uid="{075CD7E4-DE4F-4FCB-94AA-7B03CDBEA918}"/>
  <tableColumns count="15">
    <tableColumn id="4" xr3:uid="{685D34A9-1C57-402F-A52E-ECDFF94CF00F}" name="Name" dataDxfId="13"/>
    <tableColumn id="3" xr3:uid="{5A692569-0567-4763-8C64-B007AC2A9BAA}" name="GivenName" dataDxfId="12"/>
    <tableColumn id="16" xr3:uid="{B5DEC373-C9B5-4C34-A5EF-5BA17BA93CCF}" name="Status" dataDxfId="11"/>
    <tableColumn id="1" xr3:uid="{B326DDC4-0680-4242-B9C5-220B0CD869C2}" name="DistinguishedName" dataDxfId="10"/>
    <tableColumn id="5" xr3:uid="{E2691774-C0ED-4955-8A11-1C807049784E}" name="ObjectClass" dataDxfId="9"/>
    <tableColumn id="6" xr3:uid="{36BE6BE8-CAC5-432F-8DB5-A5FEF9B08A50}" name="ObjectGUID" dataDxfId="8"/>
    <tableColumn id="7" xr3:uid="{44347A2A-4138-416E-903D-08639C043228}" name="SamAccountName" dataDxfId="7"/>
    <tableColumn id="8" xr3:uid="{36E1DEFE-ACB2-453B-AFF8-5AB9F6AD3559}" name="SID" dataDxfId="6"/>
    <tableColumn id="9" xr3:uid="{2C9C44B3-EB55-47D9-BF2B-D778A2E5A908}" name="Surname" dataDxfId="5"/>
    <tableColumn id="10" xr3:uid="{60ADAAB2-0E25-4FD1-BD66-FAC747680328}" name="UserPrincipalName" dataDxfId="4"/>
    <tableColumn id="11" xr3:uid="{40F6892B-1F0C-4604-80CF-9D9F9A09E640}" name="PropertyNames" dataDxfId="3"/>
    <tableColumn id="12" xr3:uid="{AA99D009-B6F0-47B2-A808-B3040DF94008}" name="AddedProperties" dataDxfId="2"/>
    <tableColumn id="13" xr3:uid="{8195B985-5104-400A-927D-7DC8A2659BD4}" name="RemovedProperties" dataDxfId="1"/>
    <tableColumn id="14" xr3:uid="{A65E59B1-9E02-4BBC-91A2-A32E5E95ED4C}" name="ModifiedProperties" dataDxfId="0"/>
    <tableColumn id="15" xr3:uid="{1E59F07F-D107-4CF5-82D6-D4831CC867F1}" name="PropertyCou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C688-CA8F-4F9C-99D9-31664323F068}">
  <sheetPr codeName="Planilha1"/>
  <dimension ref="A1:O5"/>
  <sheetViews>
    <sheetView workbookViewId="0">
      <selection activeCell="F17" sqref="F17"/>
    </sheetView>
  </sheetViews>
  <sheetFormatPr defaultRowHeight="15" x14ac:dyDescent="0.25"/>
  <cols>
    <col min="1" max="1" width="22.42578125" bestFit="1" customWidth="1"/>
    <col min="2" max="2" width="13.85546875" bestFit="1" customWidth="1"/>
    <col min="3" max="3" width="10.85546875" bestFit="1" customWidth="1"/>
    <col min="4" max="4" width="67.7109375" bestFit="1" customWidth="1"/>
    <col min="5" max="5" width="13.5703125" bestFit="1" customWidth="1"/>
    <col min="6" max="6" width="37.5703125" bestFit="1" customWidth="1"/>
    <col min="7" max="7" width="19.7109375" bestFit="1" customWidth="1"/>
    <col min="8" max="8" width="46.28515625" bestFit="1" customWidth="1"/>
    <col min="9" max="9" width="15" bestFit="1" customWidth="1"/>
    <col min="10" max="10" width="24.140625" bestFit="1" customWidth="1"/>
    <col min="11" max="11" width="81.140625" bestFit="1" customWidth="1"/>
    <col min="12" max="14" width="49.42578125" bestFit="1" customWidth="1"/>
    <col min="15" max="16" width="16.42578125" bestFit="1" customWidth="1"/>
  </cols>
  <sheetData>
    <row r="1" spans="1:15" x14ac:dyDescent="0.25">
      <c r="A1" t="s">
        <v>2</v>
      </c>
      <c r="B1" t="s">
        <v>1</v>
      </c>
      <c r="C1" t="s">
        <v>25</v>
      </c>
      <c r="D1" t="s">
        <v>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5">
      <c r="A2" t="s">
        <v>40</v>
      </c>
      <c r="B2" t="s">
        <v>36</v>
      </c>
      <c r="C2" t="s">
        <v>31</v>
      </c>
      <c r="D2" t="s">
        <v>41</v>
      </c>
      <c r="E2" t="s">
        <v>14</v>
      </c>
      <c r="F2" t="s">
        <v>15</v>
      </c>
      <c r="G2" t="s">
        <v>40</v>
      </c>
      <c r="H2" t="s">
        <v>16</v>
      </c>
      <c r="I2" t="s">
        <v>36</v>
      </c>
      <c r="J2" t="s">
        <v>36</v>
      </c>
      <c r="K2" t="s">
        <v>17</v>
      </c>
      <c r="L2" t="s">
        <v>18</v>
      </c>
      <c r="M2" t="s">
        <v>18</v>
      </c>
      <c r="N2" t="s">
        <v>18</v>
      </c>
      <c r="O2">
        <v>10</v>
      </c>
    </row>
    <row r="3" spans="1:15" x14ac:dyDescent="0.25">
      <c r="A3" t="s">
        <v>42</v>
      </c>
      <c r="B3" t="s">
        <v>36</v>
      </c>
      <c r="C3" t="s">
        <v>32</v>
      </c>
      <c r="D3" t="s">
        <v>43</v>
      </c>
      <c r="E3" t="s">
        <v>14</v>
      </c>
      <c r="F3" t="s">
        <v>19</v>
      </c>
      <c r="G3" t="s">
        <v>42</v>
      </c>
      <c r="H3" t="s">
        <v>20</v>
      </c>
      <c r="I3" t="s">
        <v>36</v>
      </c>
      <c r="J3" t="s">
        <v>36</v>
      </c>
      <c r="K3" t="s">
        <v>17</v>
      </c>
      <c r="L3" t="s">
        <v>18</v>
      </c>
      <c r="M3" t="s">
        <v>18</v>
      </c>
      <c r="N3" t="s">
        <v>18</v>
      </c>
      <c r="O3">
        <v>10</v>
      </c>
    </row>
    <row r="4" spans="1:15" x14ac:dyDescent="0.25">
      <c r="A4" t="s">
        <v>44</v>
      </c>
      <c r="B4" t="s">
        <v>45</v>
      </c>
      <c r="C4" t="s">
        <v>32</v>
      </c>
      <c r="D4" t="s">
        <v>46</v>
      </c>
      <c r="E4" t="s">
        <v>14</v>
      </c>
      <c r="F4" t="s">
        <v>21</v>
      </c>
      <c r="G4" t="s">
        <v>37</v>
      </c>
      <c r="H4" t="s">
        <v>22</v>
      </c>
      <c r="I4" t="s">
        <v>38</v>
      </c>
      <c r="J4" t="s">
        <v>47</v>
      </c>
      <c r="K4" t="s">
        <v>17</v>
      </c>
      <c r="L4" t="s">
        <v>18</v>
      </c>
      <c r="M4" t="s">
        <v>18</v>
      </c>
      <c r="N4" t="s">
        <v>18</v>
      </c>
      <c r="O4">
        <v>10</v>
      </c>
    </row>
    <row r="5" spans="1:15" x14ac:dyDescent="0.25">
      <c r="A5" t="s">
        <v>48</v>
      </c>
      <c r="B5" t="s">
        <v>49</v>
      </c>
      <c r="C5" t="s">
        <v>31</v>
      </c>
      <c r="D5" t="s">
        <v>50</v>
      </c>
      <c r="E5" t="s">
        <v>14</v>
      </c>
      <c r="F5" t="s">
        <v>23</v>
      </c>
      <c r="G5" t="s">
        <v>49</v>
      </c>
      <c r="H5" t="s">
        <v>24</v>
      </c>
      <c r="I5" t="s">
        <v>39</v>
      </c>
      <c r="J5" t="s">
        <v>51</v>
      </c>
      <c r="K5" t="s">
        <v>17</v>
      </c>
      <c r="L5" t="s">
        <v>18</v>
      </c>
      <c r="M5" t="s">
        <v>18</v>
      </c>
      <c r="N5" t="s">
        <v>18</v>
      </c>
      <c r="O5">
        <v>10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C1:X16"/>
  <sheetViews>
    <sheetView showGridLines="0" tabSelected="1" workbookViewId="0">
      <selection activeCell="K20" sqref="K20"/>
    </sheetView>
  </sheetViews>
  <sheetFormatPr defaultColWidth="9.140625" defaultRowHeight="15" x14ac:dyDescent="0.25"/>
  <cols>
    <col min="1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ht="15.75" x14ac:dyDescent="0.25">
      <c r="C3" s="4"/>
    </row>
    <row r="5" spans="3:24" ht="15" customHeight="1" x14ac:dyDescent="0.25"/>
    <row r="6" spans="3:24" ht="15" customHeight="1" x14ac:dyDescent="0.25"/>
    <row r="7" spans="3:24" ht="15" customHeight="1" x14ac:dyDescent="0.25"/>
    <row r="8" spans="3:24" ht="15" customHeight="1" x14ac:dyDescent="0.25"/>
    <row r="10" spans="3:24" ht="15" customHeight="1" x14ac:dyDescent="0.25"/>
    <row r="11" spans="3:24" ht="15" customHeight="1" x14ac:dyDescent="0.25"/>
    <row r="12" spans="3:24" ht="15" customHeight="1" x14ac:dyDescent="0.25"/>
    <row r="16" spans="3:24" x14ac:dyDescent="0.25">
      <c r="X16" s="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D194-9C76-4C94-9727-197CD8ADEBBD}">
  <sheetPr codeName="Planilha3"/>
  <dimension ref="C1:X22"/>
  <sheetViews>
    <sheetView workbookViewId="0">
      <selection activeCell="J16" sqref="J16"/>
    </sheetView>
  </sheetViews>
  <sheetFormatPr defaultColWidth="9.140625" defaultRowHeight="15" x14ac:dyDescent="0.25"/>
  <cols>
    <col min="1" max="2" width="9.140625" style="1"/>
    <col min="3" max="3" width="11.28515625" style="1" customWidth="1"/>
    <col min="4" max="20" width="9.140625" style="1"/>
    <col min="21" max="21" width="10.7109375" style="1" bestFit="1" customWidth="1"/>
    <col min="22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x14ac:dyDescent="0.25">
      <c r="C3" s="7" t="s">
        <v>29</v>
      </c>
      <c r="D3" s="7" t="s">
        <v>30</v>
      </c>
      <c r="E3" s="7"/>
      <c r="F3" s="7"/>
      <c r="G3" s="7"/>
      <c r="H3" s="7"/>
      <c r="I3" s="7"/>
      <c r="J3" s="7"/>
      <c r="K3" s="7"/>
      <c r="L3" s="7"/>
      <c r="M3" s="7"/>
      <c r="T3" s="3" t="s">
        <v>33</v>
      </c>
      <c r="U3" s="6">
        <f ca="1">TODAY()</f>
        <v>45711</v>
      </c>
    </row>
    <row r="4" spans="3:24" x14ac:dyDescent="0.25">
      <c r="E4" s="3"/>
    </row>
    <row r="5" spans="3:24" ht="15" customHeight="1" x14ac:dyDescent="0.25">
      <c r="C5" s="3" t="s">
        <v>34</v>
      </c>
      <c r="E5" s="3"/>
    </row>
    <row r="6" spans="3:24" ht="15" customHeight="1" x14ac:dyDescent="0.25">
      <c r="C6" s="3" t="s">
        <v>26</v>
      </c>
      <c r="D6" s="3">
        <f>COUNTIF(Relatorio!$C:$C,$C$11)</f>
        <v>2</v>
      </c>
      <c r="E6" s="3"/>
    </row>
    <row r="7" spans="3:24" ht="15" customHeight="1" x14ac:dyDescent="0.25">
      <c r="C7" s="3" t="s">
        <v>27</v>
      </c>
      <c r="D7" s="3">
        <f>COUNTIF(Relatorio!$C:$C,$C$12)</f>
        <v>2</v>
      </c>
      <c r="E7" s="3"/>
    </row>
    <row r="8" spans="3:24" ht="15" customHeight="1" x14ac:dyDescent="0.25">
      <c r="C8" s="3" t="s">
        <v>28</v>
      </c>
      <c r="D8" s="3">
        <f>COUNTA(Relatorio!$A$2:$A$9683)</f>
        <v>4</v>
      </c>
    </row>
    <row r="10" spans="3:24" ht="15" customHeight="1" x14ac:dyDescent="0.25">
      <c r="C10" s="3" t="s">
        <v>35</v>
      </c>
      <c r="D10" s="3"/>
      <c r="E10" s="3"/>
    </row>
    <row r="11" spans="3:24" ht="15" customHeight="1" x14ac:dyDescent="0.25">
      <c r="C11" s="3" t="s">
        <v>31</v>
      </c>
      <c r="D11" s="3"/>
      <c r="E11" s="3"/>
    </row>
    <row r="12" spans="3:24" ht="15" customHeight="1" x14ac:dyDescent="0.25">
      <c r="C12" s="3" t="s">
        <v>32</v>
      </c>
      <c r="D12" s="3"/>
      <c r="E12" s="3"/>
    </row>
    <row r="13" spans="3:24" x14ac:dyDescent="0.25">
      <c r="C13" s="3"/>
      <c r="D13" s="3"/>
      <c r="E13" s="3"/>
    </row>
    <row r="14" spans="3:24" x14ac:dyDescent="0.25">
      <c r="C14" s="3"/>
      <c r="D14" s="3"/>
      <c r="E14" s="3"/>
    </row>
    <row r="15" spans="3:24" x14ac:dyDescent="0.25">
      <c r="C15" s="3"/>
      <c r="D15" s="3"/>
      <c r="E15" s="3"/>
    </row>
    <row r="16" spans="3:24" x14ac:dyDescent="0.25">
      <c r="C16" s="3"/>
      <c r="D16" s="3"/>
      <c r="E16" s="3"/>
      <c r="X16" s="5"/>
    </row>
    <row r="17" spans="3:5" x14ac:dyDescent="0.25">
      <c r="C17" s="3"/>
      <c r="D17" s="3"/>
      <c r="E17" s="3"/>
    </row>
    <row r="18" spans="3:5" x14ac:dyDescent="0.25">
      <c r="C18" s="3"/>
      <c r="D18" s="3"/>
      <c r="E18" s="3"/>
    </row>
    <row r="19" spans="3:5" x14ac:dyDescent="0.25">
      <c r="C19" s="3"/>
      <c r="D19" s="3"/>
      <c r="E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1295C-3C68-4FE8-A4BF-8F81B08DEE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Dashboard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2015-06-05T18:19:34Z</dcterms:created>
  <dcterms:modified xsi:type="dcterms:W3CDTF">2025-02-23T21:55:16Z</dcterms:modified>
</cp:coreProperties>
</file>
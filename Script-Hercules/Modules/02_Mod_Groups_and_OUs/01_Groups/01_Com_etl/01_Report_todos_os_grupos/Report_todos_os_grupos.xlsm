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cript-Hercules\Modules\02_Mod_Groups_and_OUs\01_Groups\01_Com_etl\01_Report_todos_os_grupos\"/>
    </mc:Choice>
  </mc:AlternateContent>
  <xr:revisionPtr revIDLastSave="0" documentId="13_ncr:1_{9D7AF3C7-9D7B-4BD2-A2B6-5E5FEC8D380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Relatorio_p1" sheetId="4" r:id="rId1"/>
    <sheet name="Relatorio_p2" sheetId="5" r:id="rId2"/>
    <sheet name="Relatorio_p3" sheetId="6" r:id="rId3"/>
    <sheet name="Dashboard" sheetId="1" r:id="rId4"/>
    <sheet name="menu_relatorios" sheetId="7" r:id="rId5"/>
    <sheet name="Config" sheetId="3" r:id="rId6"/>
  </sheets>
  <definedNames>
    <definedName name="_xleta.TODAY" hidden="1" xlm="1">#NAME?</definedName>
    <definedName name="DadosExternos_1" localSheetId="0" hidden="1">'Relatorio_p1'!$A$1:$H$6</definedName>
    <definedName name="DadosExternos_2" localSheetId="1" hidden="1">'Relatorio_p2'!$A$1:$B$6</definedName>
    <definedName name="DadosExternos_3" localSheetId="2" hidden="1">'Relatorio_p3'!$A$1:$B$156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" i="3" l="1"/>
  <c r="R8" i="3"/>
  <c r="R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7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M29" i="3"/>
  <c r="D7" i="3"/>
  <c r="D8" i="3"/>
  <c r="U3" i="3"/>
  <c r="D9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Wanderson Silva</author>
  </authors>
  <commentList>
    <comment ref="D7" authorId="0" shapeId="0" xr:uid="{4708FCC7-B459-4858-9A80-3DA7E98C98A9}">
      <text>
        <r>
          <rPr>
            <b/>
            <sz val="9"/>
            <color indexed="81"/>
            <rFont val="Segoe UI"/>
            <charset val="1"/>
          </rPr>
          <t>Wanderson Silva:</t>
        </r>
        <r>
          <rPr>
            <sz val="9"/>
            <color indexed="81"/>
            <rFont val="Segoe UI"/>
            <charset val="1"/>
          </rPr>
          <t xml:space="preserve">
Calculo usando a tabela Relatorio_p2
</t>
        </r>
      </text>
    </comment>
    <comment ref="D8" authorId="0" shapeId="0" xr:uid="{99D1E91F-528F-4C81-BA3A-F022760EB680}">
      <text>
        <r>
          <rPr>
            <b/>
            <sz val="9"/>
            <color indexed="81"/>
            <rFont val="Segoe UI"/>
            <charset val="1"/>
          </rPr>
          <t>Wanderson Silva:</t>
        </r>
        <r>
          <rPr>
            <sz val="9"/>
            <color indexed="81"/>
            <rFont val="Segoe UI"/>
            <charset val="1"/>
          </rPr>
          <t xml:space="preserve">
Calculo usando a tabela Relatorio_p2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D5A1E6-5C56-4FBA-8EEB-64ED8DB43F03}" keepAlive="1" name="Consulta - Relatorio_p1" description="Conexão com a consulta 'Relatorio_p1' na pasta de trabalho." type="5" refreshedVersion="8" background="1" saveData="1">
    <dbPr connection="Provider=Microsoft.Mashup.OleDb.1;Data Source=$Workbook$;Location=Relatorio_p1;Extended Properties=&quot;&quot;" command="SELECT * FROM [Relatorio_p1]"/>
  </connection>
  <connection id="2" xr16:uid="{62A6DC50-ED27-4B86-AC43-00A3DDA7E8AF}" keepAlive="1" name="Consulta - Relatorio_p2" description="Conexão com a consulta 'Relatorio_p2' na pasta de trabalho." type="5" refreshedVersion="8" background="1" saveData="1">
    <dbPr connection="Provider=Microsoft.Mashup.OleDb.1;Data Source=$Workbook$;Location=Relatorio_p2;Extended Properties=&quot;&quot;" command="SELECT * FROM [Relatorio_p2]"/>
  </connection>
  <connection id="3" xr16:uid="{599AC879-57B5-4D93-9194-0C240C2A9D8F}" keepAlive="1" name="Consulta - Relatorio_p3" description="Conexão com a consulta 'Relatorio_p3' na pasta de trabalho." type="5" refreshedVersion="8" background="1" saveData="1">
    <dbPr connection="Provider=Microsoft.Mashup.OleDb.1;Data Source=$Workbook$;Location=Relatorio_p3;Extended Properties=&quot;&quot;" command="SELECT * FROM [Relatorio_p3]"/>
  </connection>
</connections>
</file>

<file path=xl/sharedStrings.xml><?xml version="1.0" encoding="utf-8"?>
<sst xmlns="http://schemas.openxmlformats.org/spreadsheetml/2006/main" count="96" uniqueCount="58">
  <si>
    <t>Atenção</t>
  </si>
  <si>
    <t>esta aba ficam as configurações e formula desta planilha. Você pode ajusta coforme sua necessidade</t>
  </si>
  <si>
    <t>Data</t>
  </si>
  <si>
    <t>Cálculo</t>
  </si>
  <si>
    <t>Parametros</t>
  </si>
  <si>
    <t>DistinguishedName</t>
  </si>
  <si>
    <t>GroupCategory</t>
  </si>
  <si>
    <t>GroupScope</t>
  </si>
  <si>
    <t>Name</t>
  </si>
  <si>
    <t>ObjectClass</t>
  </si>
  <si>
    <t>ObjectGUID</t>
  </si>
  <si>
    <t>SamAccountName</t>
  </si>
  <si>
    <t>SID</t>
  </si>
  <si>
    <t>Security</t>
  </si>
  <si>
    <t>DomainLocal</t>
  </si>
  <si>
    <t>Incoming Forest Trust Builders</t>
  </si>
  <si>
    <t>group</t>
  </si>
  <si>
    <t>d894fda5-8d77-46dd-957d-64db204ef448</t>
  </si>
  <si>
    <t>S-1-5-32-557</t>
  </si>
  <si>
    <t>Pre-Windows 2000 Compatible Access</t>
  </si>
  <si>
    <t>46429962-b4fd-4aad-bbd8-eaf10a418000</t>
  </si>
  <si>
    <t>S-1-5-32-554</t>
  </si>
  <si>
    <t>Global</t>
  </si>
  <si>
    <t>Exchange Domain Servers</t>
  </si>
  <si>
    <t>2404d1a0-182a-4890-8a6f-f4c90e6d9c13</t>
  </si>
  <si>
    <t>S-1-5-21-925037465-2226837016-4004537459-2614</t>
  </si>
  <si>
    <t>Network Configuration Operators</t>
  </si>
  <si>
    <t>c93716c4-92ae-4785-821e-9103badc0525</t>
  </si>
  <si>
    <t>S-1-5-32-556</t>
  </si>
  <si>
    <t>Distributed COM Users</t>
  </si>
  <si>
    <t>c104defd-1830-4249-aba8-8ee006606dda</t>
  </si>
  <si>
    <t>S-1-5-32-562</t>
  </si>
  <si>
    <t>Performance Monitor Users</t>
  </si>
  <si>
    <t>Terminal Server License Servers</t>
  </si>
  <si>
    <t>Users</t>
  </si>
  <si>
    <t>Domain Users</t>
  </si>
  <si>
    <t>Grupo</t>
  </si>
  <si>
    <t>Usuario</t>
  </si>
  <si>
    <t>Quantidade de Usuarios</t>
  </si>
  <si>
    <t>Total de Grupos</t>
  </si>
  <si>
    <t>Qtd. De Grupo vazios</t>
  </si>
  <si>
    <t>Qtd de grupos por tipo</t>
  </si>
  <si>
    <t>Qtd de grupos por Scopo</t>
  </si>
  <si>
    <t>Qtd. De grupos não vazios</t>
  </si>
  <si>
    <t>Top 10 grupos por qtd de usuários</t>
  </si>
  <si>
    <t>Guests</t>
  </si>
  <si>
    <t>CN=Incoming Forest Trust Builders,CN=Builtin,DC=contoso,DC=br</t>
  </si>
  <si>
    <t>CN=Pre-Windows 2000 Compatible Access,CN=Builtin,DC=contoso,DC=br</t>
  </si>
  <si>
    <t>CN=Exchange Domain Servers,CN=Users,DC=contoso,DC=br</t>
  </si>
  <si>
    <t>CN=Network Configuration Operators,CN=Builtin,DC=contoso,DC=br</t>
  </si>
  <si>
    <t>CN=Distributed COM Users,CN=Builtin,DC=contoso,DC=br</t>
  </si>
  <si>
    <t>Grupo-teste-01</t>
  </si>
  <si>
    <t>Grupo-teste-02</t>
  </si>
  <si>
    <t>Grupo-teste-03</t>
  </si>
  <si>
    <t>Grupo-teste-04</t>
  </si>
  <si>
    <t>user-teste-01</t>
  </si>
  <si>
    <t>user-teste-02</t>
  </si>
  <si>
    <t>user-teste-03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</si>
</sst>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/>
      <bottom style="thick">
        <color rgb="FFFF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0" xfId="0" applyFont="1" applyFill="1"/>
    <xf numFmtId="0" fontId="2" fillId="2" borderId="0" xfId="0" applyFont="1" applyFill="1"/>
    <xf numFmtId="14" fontId="0" fillId="2" borderId="0" xfId="0" applyNumberFormat="1" applyFill="1"/>
    <xf numFmtId="14" fontId="1" fillId="2" borderId="0" xfId="0" applyNumberFormat="1" applyFont="1" applyFill="1"/>
    <xf numFmtId="0" fontId="0" fillId="3" borderId="0" xfId="0" applyFill="1"/>
    <xf numFmtId="0" fontId="1" fillId="2" borderId="1" xfId="0" applyFont="1" applyFill="1" applyBorder="1"/>
    <xf numFmtId="0" fontId="2" fillId="2" borderId="0" xfId="0" applyFont="1" applyFill="1" applyAlignment="1">
      <alignment horizontal="left"/>
    </xf>
    <xf numFmtId="0" fontId="0" fillId="2" borderId="2" xfId="0" applyFill="1" applyBorder="1"/>
    <xf numFmtId="0" fontId="5" fillId="0" borderId="0" xfId="1" applyNumberFormat="1"/>
    <xf numFmtId="0" fontId="0" fillId="2" borderId="0" xfId="0" applyFill="1" applyAlignment="1">
      <alignment horizontal="left"/>
    </xf>
    <xf numFmtId="0" fontId="1" fillId="2" borderId="1" xfId="0" applyFont="1" applyFill="1" applyBorder="1" applyAlignment="1">
      <alignment horizontal="left"/>
    </xf>
  </cellXfs>
  <cellStyles count="2">
    <cellStyle name="Hiperlink" xfId="1" builtinId="8"/>
    <cellStyle name="Normal" xfId="0" builtinId="0"/>
  </cellStyles>
  <dxfs count="15">
    <dxf>
      <font>
        <color theme="0"/>
      </font>
      <fill>
        <patternFill>
          <fgColor theme="1" tint="0.34998626667073579"/>
        </patternFill>
      </fill>
    </dxf>
    <dxf>
      <font>
        <color theme="1" tint="0.34998626667073579"/>
      </font>
    </dxf>
    <dxf>
      <font>
        <color theme="0"/>
      </font>
      <fill>
        <patternFill>
          <fgColor theme="1" tint="0.34998626667073579"/>
        </patternFill>
      </fill>
    </dxf>
    <dxf>
      <font>
        <color theme="1" tint="0.34998626667073579"/>
      </font>
      <fill>
        <patternFill>
          <fgColor theme="1" tint="0.3499862666707357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kern="1200" cap="none" baseline="0">
                <a:solidFill>
                  <a:schemeClr val="bg1"/>
                </a:solidFill>
              </a:rPr>
              <a:t>Não vazios </a:t>
            </a:r>
            <a:r>
              <a:rPr lang="pt-BR" sz="1100" b="1" i="0" u="none" strike="noStrike" kern="1200" cap="none" baseline="0">
                <a:solidFill>
                  <a:schemeClr val="bg1"/>
                </a:solidFill>
              </a:rPr>
              <a:t>X </a:t>
            </a:r>
            <a:r>
              <a:rPr lang="pt-BR">
                <a:solidFill>
                  <a:schemeClr val="bg1"/>
                </a:solidFill>
              </a:rPr>
              <a:t>Vazios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Config!$C$8</c:f>
              <c:strCache>
                <c:ptCount val="1"/>
                <c:pt idx="0">
                  <c:v>Qtd. De Grupo vazios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Config!$D$8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6-4008-9E7B-11DBF3E6CFAA}"/>
            </c:ext>
          </c:extLst>
        </c:ser>
        <c:ser>
          <c:idx val="1"/>
          <c:order val="1"/>
          <c:tx>
            <c:strRef>
              <c:f>Config!$C$7</c:f>
              <c:strCache>
                <c:ptCount val="1"/>
                <c:pt idx="0">
                  <c:v>Qtd. De grupos não vazios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Config!$D$7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A6-4008-9E7B-11DBF3E6CF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647193807"/>
        <c:axId val="647194767"/>
      </c:barChart>
      <c:catAx>
        <c:axId val="647193807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47194767"/>
        <c:crosses val="autoZero"/>
        <c:auto val="1"/>
        <c:lblAlgn val="ctr"/>
        <c:lblOffset val="100"/>
        <c:noMultiLvlLbl val="0"/>
      </c:catAx>
      <c:valAx>
        <c:axId val="647194767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4719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Qtd de grupos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Config!$L$7</c:f>
              <c:strCache>
                <c:ptCount val="1"/>
                <c:pt idx="0">
                  <c:v>Security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Config!$M$7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B1-459D-96EE-B6F82FB10FD9}"/>
            </c:ext>
          </c:extLst>
        </c:ser>
        <c:ser>
          <c:idx val="1"/>
          <c:order val="1"/>
          <c:tx>
            <c:strRef>
              <c:f>Config!$L$8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Config!$M$8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B1-459D-96EE-B6F82FB10FD9}"/>
            </c:ext>
          </c:extLst>
        </c:ser>
        <c:ser>
          <c:idx val="2"/>
          <c:order val="2"/>
          <c:tx>
            <c:strRef>
              <c:f>Config!$L$9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B1-459D-96EE-B6F82FB10FD9}"/>
            </c:ext>
          </c:extLst>
        </c:ser>
        <c:ser>
          <c:idx val="3"/>
          <c:order val="3"/>
          <c:tx>
            <c:strRef>
              <c:f>Config!$L$10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B1-459D-96EE-B6F82FB10FD9}"/>
            </c:ext>
          </c:extLst>
        </c:ser>
        <c:ser>
          <c:idx val="4"/>
          <c:order val="4"/>
          <c:tx>
            <c:strRef>
              <c:f>Config!$L$11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B1-459D-96EE-B6F82FB10FD9}"/>
            </c:ext>
          </c:extLst>
        </c:ser>
        <c:ser>
          <c:idx val="5"/>
          <c:order val="5"/>
          <c:tx>
            <c:strRef>
              <c:f>Config!$L$12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B1-459D-96EE-B6F82FB10FD9}"/>
            </c:ext>
          </c:extLst>
        </c:ser>
        <c:ser>
          <c:idx val="6"/>
          <c:order val="6"/>
          <c:tx>
            <c:strRef>
              <c:f>Config!$L$13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B1-459D-96EE-B6F82FB10FD9}"/>
            </c:ext>
          </c:extLst>
        </c:ser>
        <c:ser>
          <c:idx val="7"/>
          <c:order val="7"/>
          <c:tx>
            <c:strRef>
              <c:f>Config!$L$14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B1-459D-96EE-B6F82FB10FD9}"/>
            </c:ext>
          </c:extLst>
        </c:ser>
        <c:ser>
          <c:idx val="8"/>
          <c:order val="8"/>
          <c:tx>
            <c:strRef>
              <c:f>Config!$L$15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60000"/>
                </a:schemeClr>
              </a:solidFill>
              <a:miter lim="800000"/>
            </a:ln>
            <a:effectLst>
              <a:glow rad="63500">
                <a:schemeClr val="accent3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B1-459D-96EE-B6F82FB10FD9}"/>
            </c:ext>
          </c:extLst>
        </c:ser>
        <c:ser>
          <c:idx val="9"/>
          <c:order val="9"/>
          <c:tx>
            <c:strRef>
              <c:f>Config!$L$16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B1-459D-96EE-B6F82FB10F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2121174544"/>
        <c:axId val="2121163984"/>
      </c:barChart>
      <c:catAx>
        <c:axId val="2121174544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21163984"/>
        <c:crosses val="autoZero"/>
        <c:auto val="1"/>
        <c:lblAlgn val="ctr"/>
        <c:lblOffset val="100"/>
        <c:noMultiLvlLbl val="0"/>
      </c:catAx>
      <c:valAx>
        <c:axId val="21211639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2117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Qtd de grupos por Scopo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Config!$P$7</c:f>
              <c:strCache>
                <c:ptCount val="1"/>
                <c:pt idx="0">
                  <c:v>DomainLocal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Config!$Q$7:$R$7</c15:sqref>
                  </c15:fullRef>
                </c:ext>
              </c:extLst>
              <c:f>Config!$R$7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B5-4F53-92B8-894607DD8A43}"/>
            </c:ext>
          </c:extLst>
        </c:ser>
        <c:ser>
          <c:idx val="1"/>
          <c:order val="1"/>
          <c:tx>
            <c:strRef>
              <c:f>Config!$P$8</c:f>
              <c:strCache>
                <c:ptCount val="1"/>
                <c:pt idx="0">
                  <c:v>Global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Config!$Q$8:$R$8</c15:sqref>
                  </c15:fullRef>
                </c:ext>
              </c:extLst>
              <c:f>Config!$R$8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B5-4F53-92B8-894607DD8A43}"/>
            </c:ext>
          </c:extLst>
        </c:ser>
        <c:ser>
          <c:idx val="2"/>
          <c:order val="2"/>
          <c:tx>
            <c:strRef>
              <c:f>Config!$P$9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Config!$Q$9:$R$9</c15:sqref>
                  </c15:fullRef>
                </c:ext>
              </c:extLst>
              <c:f>Config!$R$9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B5-4F53-92B8-894607DD8A43}"/>
            </c:ext>
          </c:extLst>
        </c:ser>
        <c:ser>
          <c:idx val="3"/>
          <c:order val="3"/>
          <c:tx>
            <c:strRef>
              <c:f>Config!$P$10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Config!$Q$10:$R$10</c15:sqref>
                  </c15:fullRef>
                </c:ext>
              </c:extLst>
              <c:f>Config!$R$10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B5-4F53-92B8-894607DD8A43}"/>
            </c:ext>
          </c:extLst>
        </c:ser>
        <c:ser>
          <c:idx val="4"/>
          <c:order val="4"/>
          <c:tx>
            <c:strRef>
              <c:f>Config!$P$11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Config!$Q$11:$R$11</c15:sqref>
                  </c15:fullRef>
                </c:ext>
              </c:extLst>
              <c:f>Config!$R$11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B5-4F53-92B8-894607DD8A43}"/>
            </c:ext>
          </c:extLst>
        </c:ser>
        <c:ser>
          <c:idx val="5"/>
          <c:order val="5"/>
          <c:tx>
            <c:strRef>
              <c:f>Config!$P$12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Config!$Q$12:$R$12</c15:sqref>
                  </c15:fullRef>
                </c:ext>
              </c:extLst>
              <c:f>Config!$R$12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B5-4F53-92B8-894607DD8A43}"/>
            </c:ext>
          </c:extLst>
        </c:ser>
        <c:ser>
          <c:idx val="6"/>
          <c:order val="6"/>
          <c:tx>
            <c:strRef>
              <c:f>Config!$P$13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Config!$Q$13:$R$13</c15:sqref>
                  </c15:fullRef>
                </c:ext>
              </c:extLst>
              <c:f>Config!$R$13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B5-4F53-92B8-894607DD8A43}"/>
            </c:ext>
          </c:extLst>
        </c:ser>
        <c:ser>
          <c:idx val="7"/>
          <c:order val="7"/>
          <c:tx>
            <c:strRef>
              <c:f>Config!$P$14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Config!$Q$14:$R$14</c15:sqref>
                  </c15:fullRef>
                </c:ext>
              </c:extLst>
              <c:f>Config!$R$14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B5-4F53-92B8-894607DD8A43}"/>
            </c:ext>
          </c:extLst>
        </c:ser>
        <c:ser>
          <c:idx val="8"/>
          <c:order val="8"/>
          <c:tx>
            <c:strRef>
              <c:f>Config!$P$15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60000"/>
                </a:schemeClr>
              </a:solidFill>
              <a:miter lim="800000"/>
            </a:ln>
            <a:effectLst>
              <a:glow rad="63500">
                <a:schemeClr val="accent3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Config!$Q$15:$R$15</c15:sqref>
                  </c15:fullRef>
                </c:ext>
              </c:extLst>
              <c:f>Config!$R$15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B5-4F53-92B8-894607DD8A43}"/>
            </c:ext>
          </c:extLst>
        </c:ser>
        <c:ser>
          <c:idx val="9"/>
          <c:order val="9"/>
          <c:tx>
            <c:strRef>
              <c:f>Config!$P$16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Config!$Q$16:$R$16</c15:sqref>
                  </c15:fullRef>
                </c:ext>
              </c:extLst>
              <c:f>Config!$R$16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B5-4F53-92B8-894607DD8A43}"/>
            </c:ext>
          </c:extLst>
        </c:ser>
        <c:ser>
          <c:idx val="10"/>
          <c:order val="10"/>
          <c:tx>
            <c:strRef>
              <c:f>Config!$P$17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5">
                  <a:lumMod val="60000"/>
                </a:schemeClr>
              </a:solidFill>
              <a:miter lim="800000"/>
            </a:ln>
            <a:effectLst>
              <a:glow rad="63500">
                <a:schemeClr val="accent5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Config!$Q$17:$R$17</c15:sqref>
                  </c15:fullRef>
                </c:ext>
              </c:extLst>
              <c:f>Config!$R$17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B5-4F53-92B8-894607DD8A43}"/>
            </c:ext>
          </c:extLst>
        </c:ser>
        <c:ser>
          <c:idx val="11"/>
          <c:order val="11"/>
          <c:tx>
            <c:strRef>
              <c:f>Config!$P$18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Config!$Q$18:$R$18</c15:sqref>
                  </c15:fullRef>
                </c:ext>
              </c:extLst>
              <c:f>Config!$R$18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B5-4F53-92B8-894607DD8A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2121162544"/>
        <c:axId val="2121177424"/>
      </c:barChart>
      <c:catAx>
        <c:axId val="2121162544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21177424"/>
        <c:crosses val="autoZero"/>
        <c:auto val="1"/>
        <c:lblAlgn val="ctr"/>
        <c:lblOffset val="100"/>
        <c:noMultiLvlLbl val="0"/>
      </c:catAx>
      <c:valAx>
        <c:axId val="212117742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2116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Top 10 grupos por qtd de usuários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Config!$T$7:$T$18</c:f>
              <c:strCache>
                <c:ptCount val="5"/>
                <c:pt idx="0">
                  <c:v>Domain Users</c:v>
                </c:pt>
                <c:pt idx="1">
                  <c:v>Performance Monitor Users</c:v>
                </c:pt>
                <c:pt idx="2">
                  <c:v>Distributed COM Users</c:v>
                </c:pt>
                <c:pt idx="3">
                  <c:v>Terminal Server License Servers</c:v>
                </c:pt>
                <c:pt idx="4">
                  <c:v>Users</c:v>
                </c:pt>
              </c:strCache>
            </c:strRef>
          </c:cat>
          <c:val>
            <c:numRef>
              <c:f>Config!$U$7:$U$18</c:f>
              <c:numCache>
                <c:formatCode>General</c:formatCode>
                <c:ptCount val="12"/>
                <c:pt idx="0">
                  <c:v>305</c:v>
                </c:pt>
                <c:pt idx="1">
                  <c:v>10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5-4811-BEE1-39A117693C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2121239824"/>
        <c:axId val="2121226864"/>
      </c:barChart>
      <c:catAx>
        <c:axId val="21212398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1226864"/>
        <c:crosses val="autoZero"/>
        <c:auto val="1"/>
        <c:lblAlgn val="ctr"/>
        <c:lblOffset val="100"/>
        <c:noMultiLvlLbl val="0"/>
      </c:catAx>
      <c:valAx>
        <c:axId val="212122686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2123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hyperlink" Target="#menu_relatorios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3.png"/><Relationship Id="rId5" Type="http://schemas.openxmlformats.org/officeDocument/2006/relationships/hyperlink" Target="#Config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hyperlink" Target="#menu_relatorios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3.png"/><Relationship Id="rId5" Type="http://schemas.openxmlformats.org/officeDocument/2006/relationships/hyperlink" Target="#Config!A1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image" Target="../media/image5.png"/><Relationship Id="rId3" Type="http://schemas.openxmlformats.org/officeDocument/2006/relationships/hyperlink" Target="#menu_relatorios!A1"/><Relationship Id="rId7" Type="http://schemas.openxmlformats.org/officeDocument/2006/relationships/chart" Target="../charts/chart1.xml"/><Relationship Id="rId12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3.png"/><Relationship Id="rId11" Type="http://schemas.openxmlformats.org/officeDocument/2006/relationships/image" Target="../media/image4.png"/><Relationship Id="rId5" Type="http://schemas.openxmlformats.org/officeDocument/2006/relationships/hyperlink" Target="#Config!A1"/><Relationship Id="rId10" Type="http://schemas.openxmlformats.org/officeDocument/2006/relationships/chart" Target="../charts/chart4.xml"/><Relationship Id="rId4" Type="http://schemas.openxmlformats.org/officeDocument/2006/relationships/image" Target="../media/image2.png"/><Relationship Id="rId9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fig!A1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hyperlink" Target="#menu_relatorios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3.png"/><Relationship Id="rId5" Type="http://schemas.openxmlformats.org/officeDocument/2006/relationships/hyperlink" Target="#Config!A1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371475</xdr:colOff>
      <xdr:row>1</xdr:row>
      <xdr:rowOff>132855</xdr:rowOff>
    </xdr:from>
    <xdr:to>
      <xdr:col>7</xdr:col>
      <xdr:colOff>124802</xdr:colOff>
      <xdr:row>3</xdr:row>
      <xdr:rowOff>114782</xdr:rowOff>
    </xdr:to>
    <xdr:pic>
      <xdr:nvPicPr>
        <xdr:cNvPr id="2" name="Imagem 1" descr="Dash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3146A7-E540-43CF-940D-95D2D3F37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1775" y="323355"/>
          <a:ext cx="362927" cy="36292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7</xdr:col>
      <xdr:colOff>409573</xdr:colOff>
      <xdr:row>1</xdr:row>
      <xdr:rowOff>123825</xdr:rowOff>
    </xdr:from>
    <xdr:to>
      <xdr:col>8</xdr:col>
      <xdr:colOff>190372</xdr:colOff>
      <xdr:row>3</xdr:row>
      <xdr:rowOff>133224</xdr:rowOff>
    </xdr:to>
    <xdr:pic macro="[0]!Todos_usuarios">
      <xdr:nvPicPr>
        <xdr:cNvPr id="3" name="Imagem 2" descr="Relatório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D117E5-DE69-4CD3-95F0-F270666D8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9473" y="314325"/>
          <a:ext cx="390399" cy="39039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8</xdr:col>
      <xdr:colOff>521474</xdr:colOff>
      <xdr:row>1</xdr:row>
      <xdr:rowOff>124310</xdr:rowOff>
    </xdr:from>
    <xdr:to>
      <xdr:col>9</xdr:col>
      <xdr:colOff>318437</xdr:colOff>
      <xdr:row>3</xdr:row>
      <xdr:rowOff>149873</xdr:rowOff>
    </xdr:to>
    <xdr:pic>
      <xdr:nvPicPr>
        <xdr:cNvPr id="4" name="Imagem 3" descr="Configuraçõe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22C63CE-BB9B-48D1-B929-235BDD6DE10A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0974" y="314810"/>
          <a:ext cx="406563" cy="40656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11</xdr:col>
      <xdr:colOff>428625</xdr:colOff>
      <xdr:row>2</xdr:row>
      <xdr:rowOff>66675</xdr:rowOff>
    </xdr:from>
    <xdr:to>
      <xdr:col>20</xdr:col>
      <xdr:colOff>581026</xdr:colOff>
      <xdr:row>4</xdr:row>
      <xdr:rowOff>95250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6D9AA9F-B855-4FF1-88A2-7D8F0BFE22C3}"/>
            </a:ext>
          </a:extLst>
        </xdr:cNvPr>
        <xdr:cNvSpPr txBox="1"/>
      </xdr:nvSpPr>
      <xdr:spPr>
        <a:xfrm>
          <a:off x="9686925" y="447675"/>
          <a:ext cx="5638801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 baseline="0">
              <a:solidFill>
                <a:schemeClr val="bg1"/>
              </a:solidFill>
            </a:rPr>
            <a:t>RELATÓRIO P2 - QTD. DE USUÁRIOS POR GRUPOS</a:t>
          </a:r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304800</xdr:colOff>
      <xdr:row>4</xdr:row>
      <xdr:rowOff>142875</xdr:rowOff>
    </xdr:from>
    <xdr:to>
      <xdr:col>11</xdr:col>
      <xdr:colOff>238125</xdr:colOff>
      <xdr:row>7</xdr:row>
      <xdr:rowOff>180975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CF185427-96D7-85C8-2832-AE59DE284F28}"/>
            </a:ext>
          </a:extLst>
        </xdr:cNvPr>
        <xdr:cNvSpPr txBox="1"/>
      </xdr:nvSpPr>
      <xdr:spPr>
        <a:xfrm>
          <a:off x="6515100" y="904875"/>
          <a:ext cx="2981325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Filtre</a:t>
          </a:r>
          <a:r>
            <a:rPr lang="pt-BR" sz="1100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a coluna A1 para obter a quantidade de usuarios por grupo.</a:t>
          </a:r>
          <a:endParaRPr lang="pt-BR">
            <a:solidFill>
              <a:srgbClr val="FFC000"/>
            </a:solidFill>
            <a:effectLst/>
          </a:endParaRPr>
        </a:p>
        <a:p>
          <a:endParaRPr lang="pt-BR" sz="1100" baseline="0">
            <a:solidFill>
              <a:srgbClr val="FFC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352425</xdr:colOff>
      <xdr:row>4</xdr:row>
      <xdr:rowOff>57150</xdr:rowOff>
    </xdr:from>
    <xdr:to>
      <xdr:col>21</xdr:col>
      <xdr:colOff>352425</xdr:colOff>
      <xdr:row>4</xdr:row>
      <xdr:rowOff>85725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3DA73F09-3FBE-4741-9459-8BF821C259F3}"/>
            </a:ext>
          </a:extLst>
        </xdr:cNvPr>
        <xdr:cNvCxnSpPr/>
      </xdr:nvCxnSpPr>
      <xdr:spPr>
        <a:xfrm>
          <a:off x="6562725" y="819150"/>
          <a:ext cx="9144000" cy="2857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342900</xdr:colOff>
      <xdr:row>8</xdr:row>
      <xdr:rowOff>161925</xdr:rowOff>
    </xdr:from>
    <xdr:to>
      <xdr:col>11</xdr:col>
      <xdr:colOff>409575</xdr:colOff>
      <xdr:row>12</xdr:row>
      <xdr:rowOff>142876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1BFF3817-029C-5EF1-3715-08D09343CEC3}"/>
            </a:ext>
          </a:extLst>
        </xdr:cNvPr>
        <xdr:cNvGrpSpPr/>
      </xdr:nvGrpSpPr>
      <xdr:grpSpPr>
        <a:xfrm>
          <a:off x="6553200" y="1695450"/>
          <a:ext cx="3114675" cy="742951"/>
          <a:chOff x="6572250" y="3438525"/>
          <a:chExt cx="3114675" cy="742951"/>
        </a:xfrm>
      </xdr:grpSpPr>
      <xdr:sp macro="[0]!todos_os_grupos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97C83C2D-44E2-45A6-9ECB-15CE2C8E46A1}"/>
              </a:ext>
            </a:extLst>
          </xdr:cNvPr>
          <xdr:cNvSpPr txBox="1"/>
        </xdr:nvSpPr>
        <xdr:spPr>
          <a:xfrm>
            <a:off x="6572250" y="3438525"/>
            <a:ext cx="3114675" cy="742951"/>
          </a:xfrm>
          <a:prstGeom prst="rect">
            <a:avLst/>
          </a:prstGeom>
          <a:solidFill>
            <a:srgbClr val="0070C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solidFill>
                  <a:schemeClr val="bg1"/>
                </a:solidFill>
              </a:rPr>
              <a:t>Abrir relatório P1</a:t>
            </a:r>
          </a:p>
        </xdr:txBody>
      </xdr:sp>
      <xdr:sp macro="[0]!abrir_relatorio_p1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E001F34D-D5C5-4B4E-A94A-091DBDE4B538}"/>
              </a:ext>
            </a:extLst>
          </xdr:cNvPr>
          <xdr:cNvSpPr txBox="1"/>
        </xdr:nvSpPr>
        <xdr:spPr>
          <a:xfrm>
            <a:off x="6572250" y="3714750"/>
            <a:ext cx="2971800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>
                <a:solidFill>
                  <a:srgbClr val="FFC000"/>
                </a:solidFill>
              </a:rPr>
              <a:t>Relatório</a:t>
            </a:r>
            <a:r>
              <a:rPr lang="pt-BR" sz="1100" baseline="0">
                <a:solidFill>
                  <a:srgbClr val="FFC000"/>
                </a:solidFill>
              </a:rPr>
              <a:t> detalhado com varias propriedades e informações dos grupos.</a:t>
            </a:r>
            <a:endParaRPr lang="pt-BR" sz="1100">
              <a:solidFill>
                <a:srgbClr val="FFC000"/>
              </a:solidFill>
            </a:endParaRPr>
          </a:p>
        </xdr:txBody>
      </xdr:sp>
    </xdr:grpSp>
    <xdr:clientData/>
  </xdr:twoCellAnchor>
  <xdr:twoCellAnchor editAs="absolute">
    <xdr:from>
      <xdr:col>11</xdr:col>
      <xdr:colOff>571500</xdr:colOff>
      <xdr:row>8</xdr:row>
      <xdr:rowOff>171450</xdr:rowOff>
    </xdr:from>
    <xdr:to>
      <xdr:col>17</xdr:col>
      <xdr:colOff>47625</xdr:colOff>
      <xdr:row>12</xdr:row>
      <xdr:rowOff>152401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A6FF7DA8-BABF-742E-8265-17E1596FC9BB}"/>
            </a:ext>
          </a:extLst>
        </xdr:cNvPr>
        <xdr:cNvGrpSpPr/>
      </xdr:nvGrpSpPr>
      <xdr:grpSpPr>
        <a:xfrm>
          <a:off x="9829800" y="1704975"/>
          <a:ext cx="3133725" cy="742951"/>
          <a:chOff x="12658725" y="1019175"/>
          <a:chExt cx="3133725" cy="742951"/>
        </a:xfrm>
      </xdr:grpSpPr>
      <xdr:sp macro="[0]!abrir_relatorio_p3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DAE8C661-4E4A-45B1-B494-97824E9FE541}"/>
              </a:ext>
            </a:extLst>
          </xdr:cNvPr>
          <xdr:cNvSpPr txBox="1"/>
        </xdr:nvSpPr>
        <xdr:spPr>
          <a:xfrm>
            <a:off x="12677775" y="1019175"/>
            <a:ext cx="3114675" cy="742951"/>
          </a:xfrm>
          <a:prstGeom prst="rect">
            <a:avLst/>
          </a:prstGeom>
          <a:solidFill>
            <a:srgbClr val="0070C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solidFill>
                  <a:schemeClr val="bg1"/>
                </a:solidFill>
              </a:rPr>
              <a:t>Abrir relatório P3</a:t>
            </a:r>
          </a:p>
        </xdr:txBody>
      </xdr:sp>
      <xdr:sp macro="[0]!abrir_relatorio_p3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31165BAD-B109-467B-B918-0C07B8AEB858}"/>
              </a:ext>
            </a:extLst>
          </xdr:cNvPr>
          <xdr:cNvSpPr txBox="1"/>
        </xdr:nvSpPr>
        <xdr:spPr>
          <a:xfrm>
            <a:off x="12658725" y="1295400"/>
            <a:ext cx="2971800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>
                <a:solidFill>
                  <a:srgbClr val="FFC000"/>
                </a:solidFill>
              </a:rPr>
              <a:t>Relatório</a:t>
            </a:r>
            <a:r>
              <a:rPr lang="pt-BR" sz="1100" baseline="0">
                <a:solidFill>
                  <a:srgbClr val="FFC000"/>
                </a:solidFill>
              </a:rPr>
              <a:t> com duas colunas onde é possível filtrar um grupo e exbir seus usuários/membros</a:t>
            </a:r>
            <a:endParaRPr lang="pt-BR" sz="1100">
              <a:solidFill>
                <a:srgbClr val="FFC000"/>
              </a:solidFill>
            </a:endParaRPr>
          </a:p>
        </xdr:txBody>
      </xdr:sp>
    </xdr:grpSp>
    <xdr:clientData/>
  </xdr:twoCellAnchor>
  <xdr:twoCellAnchor editAs="absolute">
    <xdr:from>
      <xdr:col>10</xdr:col>
      <xdr:colOff>28575</xdr:colOff>
      <xdr:row>1</xdr:row>
      <xdr:rowOff>133350</xdr:rowOff>
    </xdr:from>
    <xdr:to>
      <xdr:col>10</xdr:col>
      <xdr:colOff>438150</xdr:colOff>
      <xdr:row>3</xdr:row>
      <xdr:rowOff>161925</xdr:rowOff>
    </xdr:to>
    <xdr:pic macro="[0]!update_all">
      <xdr:nvPicPr>
        <xdr:cNvPr id="6" name="Imagem 5">
          <a:extLst>
            <a:ext uri="{FF2B5EF4-FFF2-40B4-BE49-F238E27FC236}">
              <a16:creationId xmlns:a16="http://schemas.microsoft.com/office/drawing/2014/main" id="{A93D7FB6-32AB-44F5-80FA-DBECB9EFD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7275" y="323850"/>
          <a:ext cx="409575" cy="4095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257175</xdr:colOff>
      <xdr:row>1</xdr:row>
      <xdr:rowOff>113805</xdr:rowOff>
    </xdr:from>
    <xdr:to>
      <xdr:col>5</xdr:col>
      <xdr:colOff>10502</xdr:colOff>
      <xdr:row>3</xdr:row>
      <xdr:rowOff>95732</xdr:rowOff>
    </xdr:to>
    <xdr:pic>
      <xdr:nvPicPr>
        <xdr:cNvPr id="2" name="Imagem 1" descr="Dash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574AA4-A2BE-4F63-A16B-8E8E50F72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3800" y="304305"/>
          <a:ext cx="362927" cy="36292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5</xdr:col>
      <xdr:colOff>295273</xdr:colOff>
      <xdr:row>1</xdr:row>
      <xdr:rowOff>104775</xdr:rowOff>
    </xdr:from>
    <xdr:to>
      <xdr:col>6</xdr:col>
      <xdr:colOff>76072</xdr:colOff>
      <xdr:row>3</xdr:row>
      <xdr:rowOff>114174</xdr:rowOff>
    </xdr:to>
    <xdr:pic macro="[0]!Todos_usuarios">
      <xdr:nvPicPr>
        <xdr:cNvPr id="3" name="Imagem 2" descr="Relatório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98A403A-DFC6-464E-B0EB-7A77BC8EF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498" y="295275"/>
          <a:ext cx="390399" cy="39039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6</xdr:col>
      <xdr:colOff>407174</xdr:colOff>
      <xdr:row>1</xdr:row>
      <xdr:rowOff>105260</xdr:rowOff>
    </xdr:from>
    <xdr:to>
      <xdr:col>7</xdr:col>
      <xdr:colOff>204137</xdr:colOff>
      <xdr:row>3</xdr:row>
      <xdr:rowOff>130823</xdr:rowOff>
    </xdr:to>
    <xdr:pic>
      <xdr:nvPicPr>
        <xdr:cNvPr id="4" name="Imagem 3" descr="Configuraçõe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D94A742-699D-4DF7-A005-BBCCF4128BA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2999" y="295760"/>
          <a:ext cx="406563" cy="40656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8</xdr:col>
      <xdr:colOff>581025</xdr:colOff>
      <xdr:row>1</xdr:row>
      <xdr:rowOff>161925</xdr:rowOff>
    </xdr:from>
    <xdr:to>
      <xdr:col>18</xdr:col>
      <xdr:colOff>123826</xdr:colOff>
      <xdr:row>4</xdr:row>
      <xdr:rowOff>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C53F2AF6-D3B0-454B-A9CD-CA8140D0DE3B}"/>
            </a:ext>
          </a:extLst>
        </xdr:cNvPr>
        <xdr:cNvSpPr txBox="1"/>
      </xdr:nvSpPr>
      <xdr:spPr>
        <a:xfrm>
          <a:off x="10306050" y="352425"/>
          <a:ext cx="5638801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 baseline="0">
              <a:solidFill>
                <a:schemeClr val="bg1"/>
              </a:solidFill>
            </a:rPr>
            <a:t>RELATÓRIO P3 - LISTA DE USUÁRIOS POR GRUPO</a:t>
          </a:r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171450</xdr:colOff>
      <xdr:row>4</xdr:row>
      <xdr:rowOff>133350</xdr:rowOff>
    </xdr:from>
    <xdr:to>
      <xdr:col>9</xdr:col>
      <xdr:colOff>104775</xdr:colOff>
      <xdr:row>7</xdr:row>
      <xdr:rowOff>180975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F3CC647F-79F2-4380-A6E8-792A2AA9BE27}"/>
            </a:ext>
          </a:extLst>
        </xdr:cNvPr>
        <xdr:cNvSpPr txBox="1"/>
      </xdr:nvSpPr>
      <xdr:spPr>
        <a:xfrm>
          <a:off x="7458075" y="895350"/>
          <a:ext cx="2981325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Filtre a coluna A2 para retornar a lista de usuários/mebros por grupo.</a:t>
          </a:r>
          <a:endParaRPr lang="pt-BR">
            <a:solidFill>
              <a:srgbClr val="FFC000"/>
            </a:solidFill>
            <a:effectLst/>
          </a:endParaRPr>
        </a:p>
        <a:p>
          <a:endParaRPr lang="pt-BR" sz="1100" baseline="0">
            <a:solidFill>
              <a:srgbClr val="FFC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276225</xdr:colOff>
      <xdr:row>4</xdr:row>
      <xdr:rowOff>28575</xdr:rowOff>
    </xdr:from>
    <xdr:to>
      <xdr:col>19</xdr:col>
      <xdr:colOff>276225</xdr:colOff>
      <xdr:row>4</xdr:row>
      <xdr:rowOff>57150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890B8108-A6C6-8E29-F81C-5B700A7D2B6B}"/>
            </a:ext>
          </a:extLst>
        </xdr:cNvPr>
        <xdr:cNvCxnSpPr/>
      </xdr:nvCxnSpPr>
      <xdr:spPr>
        <a:xfrm>
          <a:off x="7562850" y="790575"/>
          <a:ext cx="9144000" cy="28575"/>
        </a:xfrm>
        <a:prstGeom prst="lin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257175</xdr:colOff>
      <xdr:row>8</xdr:row>
      <xdr:rowOff>38100</xdr:rowOff>
    </xdr:from>
    <xdr:to>
      <xdr:col>9</xdr:col>
      <xdr:colOff>323850</xdr:colOff>
      <xdr:row>12</xdr:row>
      <xdr:rowOff>19051</xdr:rowOff>
    </xdr:to>
    <xdr:sp macro="[0]!todos_os_grupos" textlink="">
      <xdr:nvSpPr>
        <xdr:cNvPr id="16" name="CaixaDeTexto 15">
          <a:extLst>
            <a:ext uri="{FF2B5EF4-FFF2-40B4-BE49-F238E27FC236}">
              <a16:creationId xmlns:a16="http://schemas.microsoft.com/office/drawing/2014/main" id="{3DE8A826-EFA8-4716-8959-F3CB953B7E28}"/>
            </a:ext>
          </a:extLst>
        </xdr:cNvPr>
        <xdr:cNvSpPr txBox="1"/>
      </xdr:nvSpPr>
      <xdr:spPr>
        <a:xfrm>
          <a:off x="7543800" y="1562100"/>
          <a:ext cx="3114675" cy="742951"/>
        </a:xfrm>
        <a:prstGeom prst="rect">
          <a:avLst/>
        </a:prstGeom>
        <a:solidFill>
          <a:srgbClr val="0070C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Abrir relatório P1</a:t>
          </a:r>
        </a:p>
      </xdr:txBody>
    </xdr:sp>
    <xdr:clientData/>
  </xdr:twoCellAnchor>
  <xdr:twoCellAnchor editAs="absolute">
    <xdr:from>
      <xdr:col>7</xdr:col>
      <xdr:colOff>542925</xdr:colOff>
      <xdr:row>1</xdr:row>
      <xdr:rowOff>114300</xdr:rowOff>
    </xdr:from>
    <xdr:to>
      <xdr:col>8</xdr:col>
      <xdr:colOff>342900</xdr:colOff>
      <xdr:row>3</xdr:row>
      <xdr:rowOff>142875</xdr:rowOff>
    </xdr:to>
    <xdr:pic macro="[0]!update_all">
      <xdr:nvPicPr>
        <xdr:cNvPr id="10" name="Imagem 9">
          <a:extLst>
            <a:ext uri="{FF2B5EF4-FFF2-40B4-BE49-F238E27FC236}">
              <a16:creationId xmlns:a16="http://schemas.microsoft.com/office/drawing/2014/main" id="{86F4B017-F586-44B1-9452-DC0FBBF4F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50" y="304800"/>
          <a:ext cx="409575" cy="4095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10</xdr:col>
      <xdr:colOff>38100</xdr:colOff>
      <xdr:row>8</xdr:row>
      <xdr:rowOff>28575</xdr:rowOff>
    </xdr:from>
    <xdr:to>
      <xdr:col>15</xdr:col>
      <xdr:colOff>104775</xdr:colOff>
      <xdr:row>12</xdr:row>
      <xdr:rowOff>9526</xdr:rowOff>
    </xdr:to>
    <xdr:sp macro="[0]!abrir_relatorio_p3" textlink="">
      <xdr:nvSpPr>
        <xdr:cNvPr id="11" name="CaixaDeTexto 10">
          <a:extLst>
            <a:ext uri="{FF2B5EF4-FFF2-40B4-BE49-F238E27FC236}">
              <a16:creationId xmlns:a16="http://schemas.microsoft.com/office/drawing/2014/main" id="{12C40354-32A3-446E-B952-B681750EFF8E}"/>
            </a:ext>
          </a:extLst>
        </xdr:cNvPr>
        <xdr:cNvSpPr txBox="1"/>
      </xdr:nvSpPr>
      <xdr:spPr>
        <a:xfrm>
          <a:off x="10982325" y="1552575"/>
          <a:ext cx="3114675" cy="742951"/>
        </a:xfrm>
        <a:prstGeom prst="rect">
          <a:avLst/>
        </a:prstGeom>
        <a:solidFill>
          <a:srgbClr val="0070C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Abrir relatório P2</a:t>
          </a:r>
        </a:p>
      </xdr:txBody>
    </xdr:sp>
    <xdr:clientData/>
  </xdr:twoCellAnchor>
  <xdr:twoCellAnchor editAs="absolute">
    <xdr:from>
      <xdr:col>10</xdr:col>
      <xdr:colOff>47625</xdr:colOff>
      <xdr:row>9</xdr:row>
      <xdr:rowOff>66675</xdr:rowOff>
    </xdr:from>
    <xdr:to>
      <xdr:col>14</xdr:col>
      <xdr:colOff>581025</xdr:colOff>
      <xdr:row>11</xdr:row>
      <xdr:rowOff>133350</xdr:rowOff>
    </xdr:to>
    <xdr:sp macro="[0]!abrir_relatorio_p2" textlink="">
      <xdr:nvSpPr>
        <xdr:cNvPr id="12" name="CaixaDeTexto 11">
          <a:extLst>
            <a:ext uri="{FF2B5EF4-FFF2-40B4-BE49-F238E27FC236}">
              <a16:creationId xmlns:a16="http://schemas.microsoft.com/office/drawing/2014/main" id="{7728DE4F-6066-4DD8-BA69-3A05B73A4355}"/>
            </a:ext>
          </a:extLst>
        </xdr:cNvPr>
        <xdr:cNvSpPr txBox="1"/>
      </xdr:nvSpPr>
      <xdr:spPr>
        <a:xfrm>
          <a:off x="10991850" y="1781175"/>
          <a:ext cx="29718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>
              <a:solidFill>
                <a:srgbClr val="FFC000"/>
              </a:solidFill>
            </a:rPr>
            <a:t>Relatório</a:t>
          </a:r>
          <a:r>
            <a:rPr lang="pt-BR" sz="1100" baseline="0">
              <a:solidFill>
                <a:srgbClr val="FFC000"/>
              </a:solidFill>
            </a:rPr>
            <a:t> com duas colunas onde é possível validar e consultar qtd de usuários por grupo.</a:t>
          </a:r>
        </a:p>
        <a:p>
          <a:pPr algn="l"/>
          <a:endParaRPr lang="pt-BR" sz="1100" baseline="0">
            <a:solidFill>
              <a:srgbClr val="FFC000"/>
            </a:solidFill>
          </a:endParaRPr>
        </a:p>
        <a:p>
          <a:pPr algn="l"/>
          <a:endParaRPr lang="pt-BR" sz="1100" baseline="0">
            <a:solidFill>
              <a:srgbClr val="FFC000"/>
            </a:solidFill>
          </a:endParaRPr>
        </a:p>
        <a:p>
          <a:pPr algn="l"/>
          <a:endParaRPr lang="pt-BR" sz="1100" baseline="0">
            <a:solidFill>
              <a:srgbClr val="FFC000"/>
            </a:solidFill>
          </a:endParaRPr>
        </a:p>
        <a:p>
          <a:pPr algn="l"/>
          <a:endParaRPr lang="pt-BR" sz="1100" baseline="0">
            <a:solidFill>
              <a:srgbClr val="FFC000"/>
            </a:solidFill>
          </a:endParaRPr>
        </a:p>
        <a:p>
          <a:pPr algn="l"/>
          <a:endParaRPr lang="pt-BR" sz="1100" baseline="0">
            <a:solidFill>
              <a:srgbClr val="FFC000"/>
            </a:solidFill>
          </a:endParaRPr>
        </a:p>
        <a:p>
          <a:pPr algn="l"/>
          <a:endParaRPr lang="pt-BR" sz="1100" baseline="0">
            <a:solidFill>
              <a:srgbClr val="FFC000"/>
            </a:solidFill>
          </a:endParaRPr>
        </a:p>
        <a:p>
          <a:pPr algn="l"/>
          <a:endParaRPr lang="pt-BR" sz="1100" baseline="0">
            <a:solidFill>
              <a:srgbClr val="FFC000"/>
            </a:solidFill>
          </a:endParaRPr>
        </a:p>
        <a:p>
          <a:pPr algn="l"/>
          <a:endParaRPr lang="pt-BR" sz="1100" baseline="0">
            <a:solidFill>
              <a:srgbClr val="FFC000"/>
            </a:solidFill>
          </a:endParaRPr>
        </a:p>
        <a:p>
          <a:pPr algn="l"/>
          <a:endParaRPr lang="pt-BR" sz="1100" baseline="0">
            <a:solidFill>
              <a:srgbClr val="FFC000"/>
            </a:solidFill>
          </a:endParaRPr>
        </a:p>
        <a:p>
          <a:pPr algn="l"/>
          <a:endParaRPr lang="pt-BR" sz="1100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4</xdr:col>
      <xdr:colOff>247650</xdr:colOff>
      <xdr:row>9</xdr:row>
      <xdr:rowOff>76200</xdr:rowOff>
    </xdr:from>
    <xdr:to>
      <xdr:col>9</xdr:col>
      <xdr:colOff>171450</xdr:colOff>
      <xdr:row>11</xdr:row>
      <xdr:rowOff>142875</xdr:rowOff>
    </xdr:to>
    <xdr:sp macro="[0]!abrir_relatorio_p1" textlink="">
      <xdr:nvSpPr>
        <xdr:cNvPr id="17" name="CaixaDeTexto 16">
          <a:extLst>
            <a:ext uri="{FF2B5EF4-FFF2-40B4-BE49-F238E27FC236}">
              <a16:creationId xmlns:a16="http://schemas.microsoft.com/office/drawing/2014/main" id="{FCF7F190-D55B-499D-9B17-EA88D4E91033}"/>
            </a:ext>
          </a:extLst>
        </xdr:cNvPr>
        <xdr:cNvSpPr txBox="1"/>
      </xdr:nvSpPr>
      <xdr:spPr>
        <a:xfrm>
          <a:off x="7534275" y="1790700"/>
          <a:ext cx="29718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>
              <a:solidFill>
                <a:srgbClr val="FFC000"/>
              </a:solidFill>
            </a:rPr>
            <a:t>Relatório</a:t>
          </a:r>
          <a:r>
            <a:rPr lang="pt-BR" sz="1100" baseline="0">
              <a:solidFill>
                <a:srgbClr val="FFC000"/>
              </a:solidFill>
            </a:rPr>
            <a:t> detalhado com varias propriedades e informações dos grupos.</a:t>
          </a:r>
          <a:endParaRPr lang="pt-BR" sz="1100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8</xdr:col>
      <xdr:colOff>476250</xdr:colOff>
      <xdr:row>4</xdr:row>
      <xdr:rowOff>142875</xdr:rowOff>
    </xdr:from>
    <xdr:to>
      <xdr:col>13</xdr:col>
      <xdr:colOff>409575</xdr:colOff>
      <xdr:row>8</xdr:row>
      <xdr:rowOff>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FF9274C8-ED48-4E6B-BF5A-11A065788E35}"/>
            </a:ext>
          </a:extLst>
        </xdr:cNvPr>
        <xdr:cNvSpPr txBox="1"/>
      </xdr:nvSpPr>
      <xdr:spPr>
        <a:xfrm>
          <a:off x="10201275" y="904875"/>
          <a:ext cx="2981325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Filtre a coluna B2 para retornar a lista de </a:t>
          </a:r>
        </a:p>
        <a:p>
          <a:r>
            <a:rPr lang="pt-BR" sz="1100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grupo que o usuario participa.</a:t>
          </a:r>
          <a:endParaRPr lang="pt-BR">
            <a:solidFill>
              <a:srgbClr val="FFC000"/>
            </a:solidFill>
            <a:effectLst/>
          </a:endParaRPr>
        </a:p>
        <a:p>
          <a:endParaRPr lang="pt-BR" sz="1100" baseline="0">
            <a:solidFill>
              <a:srgbClr val="FFC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19052</xdr:colOff>
      <xdr:row>0</xdr:row>
      <xdr:rowOff>313345</xdr:rowOff>
    </xdr:from>
    <xdr:to>
      <xdr:col>2</xdr:col>
      <xdr:colOff>381979</xdr:colOff>
      <xdr:row>0</xdr:row>
      <xdr:rowOff>676272</xdr:rowOff>
    </xdr:to>
    <xdr:pic>
      <xdr:nvPicPr>
        <xdr:cNvPr id="3" name="Imagem 2" descr="Dash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820BB8-738C-97AA-6D40-22360A2DE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2" y="313345"/>
          <a:ext cx="362927" cy="36292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3</xdr:col>
      <xdr:colOff>57150</xdr:colOff>
      <xdr:row>0</xdr:row>
      <xdr:rowOff>304315</xdr:rowOff>
    </xdr:from>
    <xdr:to>
      <xdr:col>3</xdr:col>
      <xdr:colOff>447549</xdr:colOff>
      <xdr:row>0</xdr:row>
      <xdr:rowOff>694714</xdr:rowOff>
    </xdr:to>
    <xdr:pic macro="[0]!Todos_usuarios">
      <xdr:nvPicPr>
        <xdr:cNvPr id="5" name="Imagem 4" descr="Relatório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9B98E3F-27F2-0980-E856-BCF77E78B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950" y="304315"/>
          <a:ext cx="390399" cy="39039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4</xdr:col>
      <xdr:colOff>169051</xdr:colOff>
      <xdr:row>0</xdr:row>
      <xdr:rowOff>304800</xdr:rowOff>
    </xdr:from>
    <xdr:to>
      <xdr:col>4</xdr:col>
      <xdr:colOff>575614</xdr:colOff>
      <xdr:row>0</xdr:row>
      <xdr:rowOff>711363</xdr:rowOff>
    </xdr:to>
    <xdr:pic>
      <xdr:nvPicPr>
        <xdr:cNvPr id="7" name="Imagem 6" descr="Configuraçõe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7BB91D-8D76-AC5E-094F-3E212314AFD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7451" y="304800"/>
          <a:ext cx="406563" cy="40656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9</xdr:col>
      <xdr:colOff>238125</xdr:colOff>
      <xdr:row>2</xdr:row>
      <xdr:rowOff>66675</xdr:rowOff>
    </xdr:from>
    <xdr:to>
      <xdr:col>12</xdr:col>
      <xdr:colOff>47625</xdr:colOff>
      <xdr:row>14</xdr:row>
      <xdr:rowOff>123825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90B41762-19C4-031F-63EE-E393157AF618}"/>
            </a:ext>
          </a:extLst>
        </xdr:cNvPr>
        <xdr:cNvGrpSpPr/>
      </xdr:nvGrpSpPr>
      <xdr:grpSpPr>
        <a:xfrm>
          <a:off x="5724525" y="1028700"/>
          <a:ext cx="1638300" cy="2352675"/>
          <a:chOff x="5724525" y="1028700"/>
          <a:chExt cx="1638300" cy="235267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Config!D9">
        <xdr:nvSpPr>
          <xdr:cNvPr id="10" name="Elipse 9">
            <a:extLst>
              <a:ext uri="{FF2B5EF4-FFF2-40B4-BE49-F238E27FC236}">
                <a16:creationId xmlns:a16="http://schemas.microsoft.com/office/drawing/2014/main" id="{29905808-04D2-A17D-689F-FF70ED449619}"/>
              </a:ext>
            </a:extLst>
          </xdr:cNvPr>
          <xdr:cNvSpPr/>
        </xdr:nvSpPr>
        <xdr:spPr>
          <a:xfrm>
            <a:off x="5724525" y="1028700"/>
            <a:ext cx="1638300" cy="1530485"/>
          </a:xfrm>
          <a:prstGeom prst="ellipse">
            <a:avLst/>
          </a:prstGeom>
          <a:noFill/>
          <a:ln w="101600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D001C2E-5B36-4927-B2A8-7FD22C953742}" type="TxLink">
              <a:rPr lang="en-US" sz="3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5</a:t>
            </a:fld>
            <a:endParaRPr lang="pt-BR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5E3089E4-BC12-EB98-65BD-1EE14657B5CF}"/>
              </a:ext>
            </a:extLst>
          </xdr:cNvPr>
          <xdr:cNvSpPr txBox="1"/>
        </xdr:nvSpPr>
        <xdr:spPr>
          <a:xfrm>
            <a:off x="6210300" y="2635709"/>
            <a:ext cx="647700" cy="4113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solidFill>
                  <a:schemeClr val="bg1"/>
                </a:solidFill>
              </a:rPr>
              <a:t>Total</a:t>
            </a:r>
          </a:p>
        </xdr:txBody>
      </xdr:sp>
      <xdr:sp macro="[0]!todos_os_grupos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FA17408F-4158-4D1A-8F74-0DBD2202B006}"/>
              </a:ext>
            </a:extLst>
          </xdr:cNvPr>
          <xdr:cNvSpPr txBox="1"/>
        </xdr:nvSpPr>
        <xdr:spPr>
          <a:xfrm>
            <a:off x="5876925" y="3113540"/>
            <a:ext cx="1304925" cy="267835"/>
          </a:xfrm>
          <a:prstGeom prst="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500">
                <a:solidFill>
                  <a:schemeClr val="bg1"/>
                </a:solidFill>
              </a:rPr>
              <a:t>Abrir relatório</a:t>
            </a:r>
          </a:p>
        </xdr:txBody>
      </xdr:sp>
    </xdr:grpSp>
    <xdr:clientData/>
  </xdr:twoCellAnchor>
  <xdr:twoCellAnchor>
    <xdr:from>
      <xdr:col>13</xdr:col>
      <xdr:colOff>323850</xdr:colOff>
      <xdr:row>2</xdr:row>
      <xdr:rowOff>66675</xdr:rowOff>
    </xdr:from>
    <xdr:to>
      <xdr:col>16</xdr:col>
      <xdr:colOff>180975</xdr:colOff>
      <xdr:row>14</xdr:row>
      <xdr:rowOff>123825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C3BBE380-D585-15D5-67A6-5AB54865DA4E}"/>
            </a:ext>
          </a:extLst>
        </xdr:cNvPr>
        <xdr:cNvGrpSpPr/>
      </xdr:nvGrpSpPr>
      <xdr:grpSpPr>
        <a:xfrm>
          <a:off x="8248650" y="1028700"/>
          <a:ext cx="1685925" cy="2352675"/>
          <a:chOff x="8248650" y="1028700"/>
          <a:chExt cx="1685925" cy="235267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Config!D7">
        <xdr:nvSpPr>
          <xdr:cNvPr id="24" name="Elipse 23">
            <a:extLst>
              <a:ext uri="{FF2B5EF4-FFF2-40B4-BE49-F238E27FC236}">
                <a16:creationId xmlns:a16="http://schemas.microsoft.com/office/drawing/2014/main" id="{B5BFAD6E-E1BE-404B-47DA-FF2E29C4C6EE}"/>
              </a:ext>
            </a:extLst>
          </xdr:cNvPr>
          <xdr:cNvSpPr/>
        </xdr:nvSpPr>
        <xdr:spPr>
          <a:xfrm>
            <a:off x="8248650" y="1028700"/>
            <a:ext cx="1638300" cy="1530485"/>
          </a:xfrm>
          <a:prstGeom prst="ellipse">
            <a:avLst/>
          </a:prstGeom>
          <a:noFill/>
          <a:ln w="101600">
            <a:solidFill>
              <a:srgbClr val="92D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7F9A166-A619-4864-B7C4-88A8B8452006}" type="TxLink">
              <a:rPr lang="en-US" sz="3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5</a:t>
            </a:fld>
            <a:endParaRPr lang="pt-BR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EB4972E-8077-9078-2E85-3B7CA3AC9712}"/>
              </a:ext>
            </a:extLst>
          </xdr:cNvPr>
          <xdr:cNvSpPr txBox="1"/>
        </xdr:nvSpPr>
        <xdr:spPr>
          <a:xfrm>
            <a:off x="8296275" y="2645275"/>
            <a:ext cx="1638300" cy="4113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500" baseline="0">
                <a:solidFill>
                  <a:schemeClr val="bg1"/>
                </a:solidFill>
              </a:rPr>
              <a:t>Não vazios</a:t>
            </a:r>
            <a:endParaRPr lang="pt-BR" sz="1500">
              <a:solidFill>
                <a:schemeClr val="bg1"/>
              </a:solidFill>
            </a:endParaRPr>
          </a:p>
        </xdr:txBody>
      </xdr:sp>
      <xdr:sp macro="[0]!todos_os_grupos_nao_vazios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C02BD81B-B124-E057-E97E-364E082FAE4D}"/>
              </a:ext>
            </a:extLst>
          </xdr:cNvPr>
          <xdr:cNvSpPr txBox="1"/>
        </xdr:nvSpPr>
        <xdr:spPr>
          <a:xfrm>
            <a:off x="8401050" y="3113540"/>
            <a:ext cx="1304925" cy="267835"/>
          </a:xfrm>
          <a:prstGeom prst="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500">
                <a:solidFill>
                  <a:schemeClr val="bg1"/>
                </a:solidFill>
              </a:rPr>
              <a:t>Abrir relatório</a:t>
            </a:r>
          </a:p>
        </xdr:txBody>
      </xdr:sp>
    </xdr:grpSp>
    <xdr:clientData/>
  </xdr:twoCellAnchor>
  <xdr:twoCellAnchor>
    <xdr:from>
      <xdr:col>17</xdr:col>
      <xdr:colOff>457200</xdr:colOff>
      <xdr:row>2</xdr:row>
      <xdr:rowOff>57150</xdr:rowOff>
    </xdr:from>
    <xdr:to>
      <xdr:col>20</xdr:col>
      <xdr:colOff>266700</xdr:colOff>
      <xdr:row>14</xdr:row>
      <xdr:rowOff>114300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FF55F61C-E143-B223-6FC8-200F5548A5C3}"/>
            </a:ext>
          </a:extLst>
        </xdr:cNvPr>
        <xdr:cNvGrpSpPr/>
      </xdr:nvGrpSpPr>
      <xdr:grpSpPr>
        <a:xfrm>
          <a:off x="10820400" y="1019175"/>
          <a:ext cx="1638300" cy="2352675"/>
          <a:chOff x="10820400" y="1019175"/>
          <a:chExt cx="1638300" cy="235267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Config!D8">
        <xdr:nvSpPr>
          <xdr:cNvPr id="28" name="Elipse 27">
            <a:extLst>
              <a:ext uri="{FF2B5EF4-FFF2-40B4-BE49-F238E27FC236}">
                <a16:creationId xmlns:a16="http://schemas.microsoft.com/office/drawing/2014/main" id="{C23714DE-8FE6-C11F-E73E-D6EB891C7CE6}"/>
              </a:ext>
            </a:extLst>
          </xdr:cNvPr>
          <xdr:cNvSpPr/>
        </xdr:nvSpPr>
        <xdr:spPr>
          <a:xfrm>
            <a:off x="10820400" y="1019175"/>
            <a:ext cx="1638300" cy="1530485"/>
          </a:xfrm>
          <a:prstGeom prst="ellipse">
            <a:avLst/>
          </a:prstGeom>
          <a:noFill/>
          <a:ln w="1016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05272BD-BC4C-4B4E-A700-6BED4F778ABB}" type="TxLink">
              <a:rPr lang="en-US" sz="3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0</a:t>
            </a:fld>
            <a:endParaRPr lang="pt-BR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BCF3BC3-4776-7BE7-FC0E-387457DE8A85}"/>
              </a:ext>
            </a:extLst>
          </xdr:cNvPr>
          <xdr:cNvSpPr txBox="1"/>
        </xdr:nvSpPr>
        <xdr:spPr>
          <a:xfrm>
            <a:off x="11049000" y="2645315"/>
            <a:ext cx="1238250" cy="4113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500">
                <a:solidFill>
                  <a:schemeClr val="bg1"/>
                </a:solidFill>
              </a:rPr>
              <a:t>Vazios</a:t>
            </a:r>
          </a:p>
        </xdr:txBody>
      </xdr:sp>
      <xdr:sp macro="[0]!todos_os_grupos_vazios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A7F2D9C8-FB73-9EFF-2619-036EC625A4BA}"/>
              </a:ext>
            </a:extLst>
          </xdr:cNvPr>
          <xdr:cNvSpPr txBox="1"/>
        </xdr:nvSpPr>
        <xdr:spPr>
          <a:xfrm>
            <a:off x="10972800" y="3104015"/>
            <a:ext cx="1304925" cy="267835"/>
          </a:xfrm>
          <a:prstGeom prst="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500">
                <a:solidFill>
                  <a:schemeClr val="bg1"/>
                </a:solidFill>
              </a:rPr>
              <a:t>Abrir relatório</a:t>
            </a:r>
          </a:p>
        </xdr:txBody>
      </xdr:sp>
    </xdr:grpSp>
    <xdr:clientData/>
  </xdr:twoCellAnchor>
  <xdr:twoCellAnchor editAs="absolute">
    <xdr:from>
      <xdr:col>6</xdr:col>
      <xdr:colOff>552449</xdr:colOff>
      <xdr:row>0</xdr:row>
      <xdr:rowOff>428625</xdr:rowOff>
    </xdr:from>
    <xdr:to>
      <xdr:col>16</xdr:col>
      <xdr:colOff>95250</xdr:colOff>
      <xdr:row>1</xdr:row>
      <xdr:rowOff>76200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67FEEFD7-A339-4032-A66D-2AEC23B6D115}"/>
            </a:ext>
          </a:extLst>
        </xdr:cNvPr>
        <xdr:cNvSpPr txBox="1"/>
      </xdr:nvSpPr>
      <xdr:spPr>
        <a:xfrm>
          <a:off x="4210049" y="428625"/>
          <a:ext cx="5638801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TIPO DE RELATÓRIO</a:t>
          </a:r>
          <a:r>
            <a:rPr lang="pt-BR" sz="1500" baseline="0">
              <a:solidFill>
                <a:schemeClr val="bg1"/>
              </a:solidFill>
            </a:rPr>
            <a:t>: TODOS OS </a:t>
          </a:r>
          <a:r>
            <a:rPr lang="pt-BR" sz="1500" b="1" baseline="0">
              <a:solidFill>
                <a:srgbClr val="FFC000"/>
              </a:solidFill>
            </a:rPr>
            <a:t>GRUPOS</a:t>
          </a:r>
          <a:r>
            <a:rPr lang="pt-BR" sz="1500" baseline="0">
              <a:solidFill>
                <a:schemeClr val="bg1"/>
              </a:solidFill>
            </a:rPr>
            <a:t> DO ACTIVE DIRECTORY</a:t>
          </a:r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485775</xdr:colOff>
      <xdr:row>2</xdr:row>
      <xdr:rowOff>23812</xdr:rowOff>
    </xdr:from>
    <xdr:to>
      <xdr:col>8</xdr:col>
      <xdr:colOff>509587</xdr:colOff>
      <xdr:row>15</xdr:row>
      <xdr:rowOff>28575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1C918DC7-E1FD-6E9B-64B1-76A58DA3BF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19</xdr:col>
      <xdr:colOff>590550</xdr:colOff>
      <xdr:row>0</xdr:row>
      <xdr:rowOff>485775</xdr:rowOff>
    </xdr:from>
    <xdr:to>
      <xdr:col>22</xdr:col>
      <xdr:colOff>66675</xdr:colOff>
      <xdr:row>0</xdr:row>
      <xdr:rowOff>753610</xdr:rowOff>
    </xdr:to>
    <xdr:sp macro="" textlink="Config!U3">
      <xdr:nvSpPr>
        <xdr:cNvPr id="40" name="CaixaDeTexto 39">
          <a:extLst>
            <a:ext uri="{FF2B5EF4-FFF2-40B4-BE49-F238E27FC236}">
              <a16:creationId xmlns:a16="http://schemas.microsoft.com/office/drawing/2014/main" id="{C88E8350-8D27-4113-86BF-450D2624FAAA}"/>
            </a:ext>
          </a:extLst>
        </xdr:cNvPr>
        <xdr:cNvSpPr txBox="1"/>
      </xdr:nvSpPr>
      <xdr:spPr>
        <a:xfrm>
          <a:off x="12172950" y="485775"/>
          <a:ext cx="1304925" cy="267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9443567-83BF-4A80-BFAA-9238A4EAF255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r"/>
            <a:t>24/02/2025</a:t>
          </a:fld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495300</xdr:colOff>
      <xdr:row>16</xdr:row>
      <xdr:rowOff>47625</xdr:rowOff>
    </xdr:from>
    <xdr:to>
      <xdr:col>8</xdr:col>
      <xdr:colOff>552450</xdr:colOff>
      <xdr:row>29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336FD1-D7E7-4FE8-BC5C-C3BCD2A1E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28575</xdr:colOff>
      <xdr:row>16</xdr:row>
      <xdr:rowOff>47624</xdr:rowOff>
    </xdr:from>
    <xdr:to>
      <xdr:col>16</xdr:col>
      <xdr:colOff>114300</xdr:colOff>
      <xdr:row>29</xdr:row>
      <xdr:rowOff>133350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0D4290A-923F-4E75-886F-D51B7C1BA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190500</xdr:colOff>
      <xdr:row>16</xdr:row>
      <xdr:rowOff>57150</xdr:rowOff>
    </xdr:from>
    <xdr:to>
      <xdr:col>22</xdr:col>
      <xdr:colOff>171450</xdr:colOff>
      <xdr:row>29</xdr:row>
      <xdr:rowOff>123825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AAC0281-115E-4375-AC1E-FCF0458096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5</xdr:col>
      <xdr:colOff>238125</xdr:colOff>
      <xdr:row>0</xdr:row>
      <xdr:rowOff>294663</xdr:rowOff>
    </xdr:from>
    <xdr:to>
      <xdr:col>6</xdr:col>
      <xdr:colOff>38100</xdr:colOff>
      <xdr:row>0</xdr:row>
      <xdr:rowOff>704238</xdr:rowOff>
    </xdr:to>
    <xdr:pic macro="[0]!update_all">
      <xdr:nvPicPr>
        <xdr:cNvPr id="13" name="Imagem 12">
          <a:extLst>
            <a:ext uri="{FF2B5EF4-FFF2-40B4-BE49-F238E27FC236}">
              <a16:creationId xmlns:a16="http://schemas.microsoft.com/office/drawing/2014/main" id="{9117F4EE-A023-D97C-1B93-31DBF615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6125" y="294663"/>
          <a:ext cx="409575" cy="4095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23</xdr:col>
      <xdr:colOff>9525</xdr:colOff>
      <xdr:row>1</xdr:row>
      <xdr:rowOff>142875</xdr:rowOff>
    </xdr:from>
    <xdr:to>
      <xdr:col>28</xdr:col>
      <xdr:colOff>19050</xdr:colOff>
      <xdr:row>16</xdr:row>
      <xdr:rowOff>66675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A0345E0-0B10-49AA-ABFF-994C07BF2439}"/>
            </a:ext>
          </a:extLst>
        </xdr:cNvPr>
        <xdr:cNvSpPr txBox="1"/>
      </xdr:nvSpPr>
      <xdr:spPr>
        <a:xfrm>
          <a:off x="14116050" y="904875"/>
          <a:ext cx="3162300" cy="280035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500">
              <a:solidFill>
                <a:schemeClr val="bg1"/>
              </a:solidFill>
            </a:rPr>
            <a:t>Apos essa planilha abrir e você </a:t>
          </a:r>
          <a:r>
            <a:rPr lang="pt-BR" sz="1500" baseline="0">
              <a:solidFill>
                <a:schemeClr val="bg1"/>
              </a:solidFill>
            </a:rPr>
            <a:t> clicar em OK no primeiro Pop-Up ,agora, você precisa clicar no botão Update que fica próximo da engrenagem, a esquerda superior, isso vai carregar todos os gráficos.</a:t>
          </a:r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24</xdr:col>
      <xdr:colOff>352424</xdr:colOff>
      <xdr:row>0</xdr:row>
      <xdr:rowOff>447675</xdr:rowOff>
    </xdr:from>
    <xdr:to>
      <xdr:col>26</xdr:col>
      <xdr:colOff>238125</xdr:colOff>
      <xdr:row>1</xdr:row>
      <xdr:rowOff>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F79CD39-88DF-4A20-BB46-A7928DC7376C}"/>
            </a:ext>
          </a:extLst>
        </xdr:cNvPr>
        <xdr:cNvSpPr txBox="1"/>
      </xdr:nvSpPr>
      <xdr:spPr>
        <a:xfrm>
          <a:off x="15173324" y="447675"/>
          <a:ext cx="1104901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ATENÇÃO</a:t>
          </a:r>
        </a:p>
      </xdr:txBody>
    </xdr:sp>
    <xdr:clientData/>
  </xdr:twoCellAnchor>
  <xdr:twoCellAnchor editAs="oneCell">
    <xdr:from>
      <xdr:col>23</xdr:col>
      <xdr:colOff>228599</xdr:colOff>
      <xdr:row>11</xdr:row>
      <xdr:rowOff>66675</xdr:rowOff>
    </xdr:from>
    <xdr:to>
      <xdr:col>27</xdr:col>
      <xdr:colOff>306161</xdr:colOff>
      <xdr:row>14</xdr:row>
      <xdr:rowOff>114300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D60ECF15-05F6-22EB-5F20-BE44DF6F77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l="3167"/>
        <a:stretch/>
      </xdr:blipFill>
      <xdr:spPr>
        <a:xfrm>
          <a:off x="14335124" y="2752725"/>
          <a:ext cx="2620737" cy="619125"/>
        </a:xfrm>
        <a:prstGeom prst="rect">
          <a:avLst/>
        </a:prstGeom>
      </xdr:spPr>
    </xdr:pic>
    <xdr:clientData/>
  </xdr:twoCellAnchor>
  <xdr:twoCellAnchor>
    <xdr:from>
      <xdr:col>26</xdr:col>
      <xdr:colOff>361949</xdr:colOff>
      <xdr:row>8</xdr:row>
      <xdr:rowOff>180977</xdr:rowOff>
    </xdr:from>
    <xdr:to>
      <xdr:col>26</xdr:col>
      <xdr:colOff>600074</xdr:colOff>
      <xdr:row>11</xdr:row>
      <xdr:rowOff>19051</xdr:rowOff>
    </xdr:to>
    <xdr:sp macro="" textlink="">
      <xdr:nvSpPr>
        <xdr:cNvPr id="17" name="Seta: para a Direita 16">
          <a:extLst>
            <a:ext uri="{FF2B5EF4-FFF2-40B4-BE49-F238E27FC236}">
              <a16:creationId xmlns:a16="http://schemas.microsoft.com/office/drawing/2014/main" id="{86298DAE-A20D-44E9-5B68-C60FBF0BDEA3}"/>
            </a:ext>
          </a:extLst>
        </xdr:cNvPr>
        <xdr:cNvSpPr/>
      </xdr:nvSpPr>
      <xdr:spPr>
        <a:xfrm rot="5400000">
          <a:off x="16316325" y="2381251"/>
          <a:ext cx="409574" cy="238125"/>
        </a:xfrm>
        <a:prstGeom prst="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28575</xdr:colOff>
      <xdr:row>30</xdr:row>
      <xdr:rowOff>0</xdr:rowOff>
    </xdr:from>
    <xdr:to>
      <xdr:col>22</xdr:col>
      <xdr:colOff>114300</xdr:colOff>
      <xdr:row>31</xdr:row>
      <xdr:rowOff>77335</xdr:rowOff>
    </xdr:to>
    <xdr:sp macro="[0]!todos_os_grupos_nao_vazios" textlink="">
      <xdr:nvSpPr>
        <xdr:cNvPr id="14" name="CaixaDeTexto 13">
          <a:extLst>
            <a:ext uri="{FF2B5EF4-FFF2-40B4-BE49-F238E27FC236}">
              <a16:creationId xmlns:a16="http://schemas.microsoft.com/office/drawing/2014/main" id="{161EFE6D-F4A3-46AE-8317-64A532F6498F}"/>
            </a:ext>
          </a:extLst>
        </xdr:cNvPr>
        <xdr:cNvSpPr txBox="1"/>
      </xdr:nvSpPr>
      <xdr:spPr>
        <a:xfrm>
          <a:off x="12220575" y="6305550"/>
          <a:ext cx="1304925" cy="26783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500">
              <a:solidFill>
                <a:schemeClr val="bg1"/>
              </a:solidFill>
            </a:rPr>
            <a:t>Abrir relatório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590550</xdr:colOff>
      <xdr:row>0</xdr:row>
      <xdr:rowOff>313830</xdr:rowOff>
    </xdr:from>
    <xdr:to>
      <xdr:col>2</xdr:col>
      <xdr:colOff>343877</xdr:colOff>
      <xdr:row>0</xdr:row>
      <xdr:rowOff>676757</xdr:rowOff>
    </xdr:to>
    <xdr:pic>
      <xdr:nvPicPr>
        <xdr:cNvPr id="17" name="Imagem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7C3287-55F4-4041-9FC2-62FFBE343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" y="313830"/>
          <a:ext cx="362927" cy="36292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3</xdr:col>
      <xdr:colOff>7124</xdr:colOff>
      <xdr:row>0</xdr:row>
      <xdr:rowOff>305285</xdr:rowOff>
    </xdr:from>
    <xdr:to>
      <xdr:col>3</xdr:col>
      <xdr:colOff>413687</xdr:colOff>
      <xdr:row>0</xdr:row>
      <xdr:rowOff>711848</xdr:rowOff>
    </xdr:to>
    <xdr:pic>
      <xdr:nvPicPr>
        <xdr:cNvPr id="19" name="Imagem 18" descr="Configuraçõ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A54E68B-93B5-4C16-B1D7-012BEC5F6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5924" y="305285"/>
          <a:ext cx="406563" cy="40656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600075</xdr:colOff>
      <xdr:row>2</xdr:row>
      <xdr:rowOff>28574</xdr:rowOff>
    </xdr:from>
    <xdr:to>
      <xdr:col>7</xdr:col>
      <xdr:colOff>66675</xdr:colOff>
      <xdr:row>6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D5660B17-26AA-51E3-1B8D-0B2D72D73625}"/>
            </a:ext>
          </a:extLst>
        </xdr:cNvPr>
        <xdr:cNvGrpSpPr/>
      </xdr:nvGrpSpPr>
      <xdr:grpSpPr>
        <a:xfrm>
          <a:off x="1209675" y="990599"/>
          <a:ext cx="3124200" cy="742951"/>
          <a:chOff x="1209675" y="990599"/>
          <a:chExt cx="3124200" cy="742951"/>
        </a:xfrm>
      </xdr:grpSpPr>
      <xdr:sp macro="[0]!todos_os_grupos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55D32F3-2953-4F38-8200-7D20C2912849}"/>
              </a:ext>
            </a:extLst>
          </xdr:cNvPr>
          <xdr:cNvSpPr txBox="1"/>
        </xdr:nvSpPr>
        <xdr:spPr>
          <a:xfrm>
            <a:off x="1219200" y="990599"/>
            <a:ext cx="3114675" cy="742951"/>
          </a:xfrm>
          <a:prstGeom prst="rect">
            <a:avLst/>
          </a:prstGeom>
          <a:solidFill>
            <a:srgbClr val="0070C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solidFill>
                  <a:schemeClr val="bg1"/>
                </a:solidFill>
              </a:rPr>
              <a:t>Abrir relatório P1</a:t>
            </a:r>
          </a:p>
        </xdr:txBody>
      </xdr:sp>
      <xdr:sp macro="[0]!abrir_relatorio_p1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7437F0E6-6B29-F486-7ABC-8EFBDE842480}"/>
              </a:ext>
            </a:extLst>
          </xdr:cNvPr>
          <xdr:cNvSpPr txBox="1"/>
        </xdr:nvSpPr>
        <xdr:spPr>
          <a:xfrm>
            <a:off x="1209675" y="1228725"/>
            <a:ext cx="2971800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>
                <a:solidFill>
                  <a:srgbClr val="FFC000"/>
                </a:solidFill>
              </a:rPr>
              <a:t>Relatório</a:t>
            </a:r>
            <a:r>
              <a:rPr lang="pt-BR" sz="1100" baseline="0">
                <a:solidFill>
                  <a:srgbClr val="FFC000"/>
                </a:solidFill>
              </a:rPr>
              <a:t> detalhado com varias propriedades e informações dos grupos.</a:t>
            </a:r>
            <a:endParaRPr lang="pt-BR" sz="1100">
              <a:solidFill>
                <a:srgbClr val="FFC000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6</xdr:row>
      <xdr:rowOff>114299</xdr:rowOff>
    </xdr:from>
    <xdr:to>
      <xdr:col>7</xdr:col>
      <xdr:colOff>76200</xdr:colOff>
      <xdr:row>10</xdr:row>
      <xdr:rowOff>95250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DD43ADBB-023F-4F21-9580-3F3C508D95E5}"/>
            </a:ext>
          </a:extLst>
        </xdr:cNvPr>
        <xdr:cNvGrpSpPr/>
      </xdr:nvGrpSpPr>
      <xdr:grpSpPr>
        <a:xfrm>
          <a:off x="1219200" y="1847849"/>
          <a:ext cx="3124200" cy="742951"/>
          <a:chOff x="1209675" y="990599"/>
          <a:chExt cx="3124200" cy="742951"/>
        </a:xfrm>
      </xdr:grpSpPr>
      <xdr:sp macro="[0]!abrir_relatorio_p2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86B8D9BC-21F3-C43F-083B-A0DB6C77DF84}"/>
              </a:ext>
            </a:extLst>
          </xdr:cNvPr>
          <xdr:cNvSpPr txBox="1"/>
        </xdr:nvSpPr>
        <xdr:spPr>
          <a:xfrm>
            <a:off x="1219200" y="990599"/>
            <a:ext cx="3114675" cy="742951"/>
          </a:xfrm>
          <a:prstGeom prst="rect">
            <a:avLst/>
          </a:prstGeom>
          <a:solidFill>
            <a:srgbClr val="0070C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solidFill>
                  <a:schemeClr val="bg1"/>
                </a:solidFill>
              </a:rPr>
              <a:t>Abrir relatório P2</a:t>
            </a:r>
          </a:p>
        </xdr:txBody>
      </xdr:sp>
      <xdr:sp macro="[0]!abrir_relatorio_p2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7D766B2B-5885-067D-082C-ADEDA60E9DF0}"/>
              </a:ext>
            </a:extLst>
          </xdr:cNvPr>
          <xdr:cNvSpPr txBox="1"/>
        </xdr:nvSpPr>
        <xdr:spPr>
          <a:xfrm>
            <a:off x="1209675" y="1228725"/>
            <a:ext cx="2971800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100">
                <a:solidFill>
                  <a:srgbClr val="FFC000"/>
                </a:solidFill>
              </a:rPr>
              <a:t>Relatório</a:t>
            </a:r>
            <a:r>
              <a:rPr lang="pt-BR" sz="1100" baseline="0">
                <a:solidFill>
                  <a:srgbClr val="FFC000"/>
                </a:solidFill>
              </a:rPr>
              <a:t> com duas colunas onde é possível validar e consultar qtd de usuários por grupo.</a:t>
            </a:r>
          </a:p>
          <a:p>
            <a:pPr algn="l"/>
            <a:endParaRPr lang="pt-BR" sz="1100" baseline="0">
              <a:solidFill>
                <a:srgbClr val="FFC000"/>
              </a:solidFill>
            </a:endParaRPr>
          </a:p>
          <a:p>
            <a:pPr algn="l"/>
            <a:endParaRPr lang="pt-BR" sz="1100" baseline="0">
              <a:solidFill>
                <a:srgbClr val="FFC000"/>
              </a:solidFill>
            </a:endParaRPr>
          </a:p>
          <a:p>
            <a:pPr algn="l"/>
            <a:endParaRPr lang="pt-BR" sz="1100" baseline="0">
              <a:solidFill>
                <a:srgbClr val="FFC000"/>
              </a:solidFill>
            </a:endParaRPr>
          </a:p>
          <a:p>
            <a:pPr algn="l"/>
            <a:endParaRPr lang="pt-BR" sz="1100" baseline="0">
              <a:solidFill>
                <a:srgbClr val="FFC000"/>
              </a:solidFill>
            </a:endParaRPr>
          </a:p>
          <a:p>
            <a:pPr algn="l"/>
            <a:endParaRPr lang="pt-BR" sz="1100" baseline="0">
              <a:solidFill>
                <a:srgbClr val="FFC000"/>
              </a:solidFill>
            </a:endParaRPr>
          </a:p>
          <a:p>
            <a:pPr algn="l"/>
            <a:endParaRPr lang="pt-BR" sz="1100" baseline="0">
              <a:solidFill>
                <a:srgbClr val="FFC000"/>
              </a:solidFill>
            </a:endParaRPr>
          </a:p>
          <a:p>
            <a:pPr algn="l"/>
            <a:endParaRPr lang="pt-BR" sz="1100" baseline="0">
              <a:solidFill>
                <a:srgbClr val="FFC000"/>
              </a:solidFill>
            </a:endParaRPr>
          </a:p>
          <a:p>
            <a:pPr algn="l"/>
            <a:endParaRPr lang="pt-BR" sz="1100" baseline="0">
              <a:solidFill>
                <a:srgbClr val="FFC000"/>
              </a:solidFill>
            </a:endParaRPr>
          </a:p>
          <a:p>
            <a:pPr algn="l"/>
            <a:endParaRPr lang="pt-BR" sz="1100" baseline="0">
              <a:solidFill>
                <a:srgbClr val="FFC000"/>
              </a:solidFill>
            </a:endParaRPr>
          </a:p>
          <a:p>
            <a:pPr algn="l"/>
            <a:endParaRPr lang="pt-BR" sz="1100">
              <a:solidFill>
                <a:srgbClr val="FFC000"/>
              </a:solidFill>
            </a:endParaRPr>
          </a:p>
        </xdr:txBody>
      </xdr:sp>
    </xdr:grpSp>
    <xdr:clientData/>
  </xdr:twoCellAnchor>
  <xdr:twoCellAnchor editAs="absolute">
    <xdr:from>
      <xdr:col>2</xdr:col>
      <xdr:colOff>28575</xdr:colOff>
      <xdr:row>11</xdr:row>
      <xdr:rowOff>19049</xdr:rowOff>
    </xdr:from>
    <xdr:to>
      <xdr:col>7</xdr:col>
      <xdr:colOff>95250</xdr:colOff>
      <xdr:row>15</xdr:row>
      <xdr:rowOff>0</xdr:rowOff>
    </xdr:to>
    <xdr:sp macro="[0]!abrir_relatorio_p3" textlink="">
      <xdr:nvSpPr>
        <xdr:cNvPr id="33" name="CaixaDeTexto 32">
          <a:extLst>
            <a:ext uri="{FF2B5EF4-FFF2-40B4-BE49-F238E27FC236}">
              <a16:creationId xmlns:a16="http://schemas.microsoft.com/office/drawing/2014/main" id="{F0298E22-2890-442A-BB28-6993E721F032}"/>
            </a:ext>
          </a:extLst>
        </xdr:cNvPr>
        <xdr:cNvSpPr txBox="1"/>
      </xdr:nvSpPr>
      <xdr:spPr>
        <a:xfrm>
          <a:off x="1247775" y="2705099"/>
          <a:ext cx="3114675" cy="742951"/>
        </a:xfrm>
        <a:prstGeom prst="rect">
          <a:avLst/>
        </a:prstGeom>
        <a:solidFill>
          <a:srgbClr val="0070C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Abrir relatório P3</a:t>
          </a:r>
        </a:p>
      </xdr:txBody>
    </xdr:sp>
    <xdr:clientData/>
  </xdr:twoCellAnchor>
  <xdr:twoCellAnchor>
    <xdr:from>
      <xdr:col>2</xdr:col>
      <xdr:colOff>19050</xdr:colOff>
      <xdr:row>12</xdr:row>
      <xdr:rowOff>66675</xdr:rowOff>
    </xdr:from>
    <xdr:to>
      <xdr:col>6</xdr:col>
      <xdr:colOff>552450</xdr:colOff>
      <xdr:row>14</xdr:row>
      <xdr:rowOff>133350</xdr:rowOff>
    </xdr:to>
    <xdr:sp macro="[0]!abrir_relatorio_p3" textlink="">
      <xdr:nvSpPr>
        <xdr:cNvPr id="34" name="CaixaDeTexto 33">
          <a:extLst>
            <a:ext uri="{FF2B5EF4-FFF2-40B4-BE49-F238E27FC236}">
              <a16:creationId xmlns:a16="http://schemas.microsoft.com/office/drawing/2014/main" id="{54A5200F-265F-4B73-93B6-173D268CD823}"/>
            </a:ext>
          </a:extLst>
        </xdr:cNvPr>
        <xdr:cNvSpPr txBox="1"/>
      </xdr:nvSpPr>
      <xdr:spPr>
        <a:xfrm>
          <a:off x="1238250" y="2943225"/>
          <a:ext cx="29718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100">
              <a:solidFill>
                <a:srgbClr val="FFC000"/>
              </a:solidFill>
            </a:rPr>
            <a:t>Relatório</a:t>
          </a:r>
          <a:r>
            <a:rPr lang="pt-BR" sz="1100" baseline="0">
              <a:solidFill>
                <a:srgbClr val="FFC000"/>
              </a:solidFill>
            </a:rPr>
            <a:t> com duas colunas onde é possível filtrar um grupo e exbir seus usuários/membros</a:t>
          </a:r>
          <a:endParaRPr lang="pt-BR" sz="1100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7</xdr:col>
      <xdr:colOff>333375</xdr:colOff>
      <xdr:row>0</xdr:row>
      <xdr:rowOff>390525</xdr:rowOff>
    </xdr:from>
    <xdr:to>
      <xdr:col>16</xdr:col>
      <xdr:colOff>485776</xdr:colOff>
      <xdr:row>1</xdr:row>
      <xdr:rowOff>38100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A3720FE-E312-4F40-B775-A1B7D6404168}"/>
            </a:ext>
          </a:extLst>
        </xdr:cNvPr>
        <xdr:cNvSpPr txBox="1"/>
      </xdr:nvSpPr>
      <xdr:spPr>
        <a:xfrm>
          <a:off x="4600575" y="390525"/>
          <a:ext cx="5638801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TIPO DE RELATÓRIO</a:t>
          </a:r>
          <a:r>
            <a:rPr lang="pt-BR" sz="1500" baseline="0">
              <a:solidFill>
                <a:schemeClr val="bg1"/>
              </a:solidFill>
            </a:rPr>
            <a:t>: TODOS OS </a:t>
          </a:r>
          <a:r>
            <a:rPr lang="pt-BR" sz="1500" b="1" baseline="0">
              <a:solidFill>
                <a:srgbClr val="FFC000"/>
              </a:solidFill>
            </a:rPr>
            <a:t>GRUPOS</a:t>
          </a:r>
          <a:r>
            <a:rPr lang="pt-BR" sz="1500" baseline="0">
              <a:solidFill>
                <a:schemeClr val="bg1"/>
              </a:solidFill>
            </a:rPr>
            <a:t> DO ACTIVE DIRECTORY</a:t>
          </a:r>
          <a:endParaRPr lang="pt-BR" sz="15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466724</xdr:colOff>
      <xdr:row>0</xdr:row>
      <xdr:rowOff>428625</xdr:rowOff>
    </xdr:from>
    <xdr:to>
      <xdr:col>14</xdr:col>
      <xdr:colOff>9525</xdr:colOff>
      <xdr:row>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E52B2D7-90F3-4686-A31E-FE66B73BA237}"/>
            </a:ext>
          </a:extLst>
        </xdr:cNvPr>
        <xdr:cNvSpPr txBox="1"/>
      </xdr:nvSpPr>
      <xdr:spPr>
        <a:xfrm>
          <a:off x="4133849" y="428625"/>
          <a:ext cx="5638801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TIPO DE RELATÓRIO</a:t>
          </a:r>
          <a:r>
            <a:rPr lang="pt-BR" sz="1500" baseline="0">
              <a:solidFill>
                <a:schemeClr val="bg1"/>
              </a:solidFill>
            </a:rPr>
            <a:t>: TODOS OS USUÁRIOS DO ACTIVE DIRECTORY</a:t>
          </a:r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514350</xdr:colOff>
      <xdr:row>0</xdr:row>
      <xdr:rowOff>466725</xdr:rowOff>
    </xdr:from>
    <xdr:to>
      <xdr:col>20</xdr:col>
      <xdr:colOff>600075</xdr:colOff>
      <xdr:row>0</xdr:row>
      <xdr:rowOff>734560</xdr:rowOff>
    </xdr:to>
    <xdr:sp macro="" textlink="$X$17">
      <xdr:nvSpPr>
        <xdr:cNvPr id="3" name="CaixaDeTexto 2">
          <a:extLst>
            <a:ext uri="{FF2B5EF4-FFF2-40B4-BE49-F238E27FC236}">
              <a16:creationId xmlns:a16="http://schemas.microsoft.com/office/drawing/2014/main" id="{33EE6708-5CD2-4578-B3C4-F2E1FB71F720}"/>
            </a:ext>
          </a:extLst>
        </xdr:cNvPr>
        <xdr:cNvSpPr txBox="1"/>
      </xdr:nvSpPr>
      <xdr:spPr>
        <a:xfrm>
          <a:off x="11487150" y="466725"/>
          <a:ext cx="1304925" cy="267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177C5EE-0674-45DB-8837-DD15F5A0806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</a:t>
          </a:fld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28575</xdr:colOff>
      <xdr:row>0</xdr:row>
      <xdr:rowOff>313830</xdr:rowOff>
    </xdr:from>
    <xdr:to>
      <xdr:col>2</xdr:col>
      <xdr:colOff>391502</xdr:colOff>
      <xdr:row>0</xdr:row>
      <xdr:rowOff>676757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0A834E-30E8-45E0-81B3-56015652A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313830"/>
          <a:ext cx="362927" cy="36292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2</xdr:col>
      <xdr:colOff>676273</xdr:colOff>
      <xdr:row>0</xdr:row>
      <xdr:rowOff>304800</xdr:rowOff>
    </xdr:from>
    <xdr:to>
      <xdr:col>2</xdr:col>
      <xdr:colOff>1066672</xdr:colOff>
      <xdr:row>0</xdr:row>
      <xdr:rowOff>695199</xdr:rowOff>
    </xdr:to>
    <xdr:pic macro="[0]!Todos_usuarios"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F2CFBF7-226D-4D7A-A574-E30B42012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3" y="304800"/>
          <a:ext cx="390399" cy="39039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2</xdr:col>
      <xdr:colOff>1397774</xdr:colOff>
      <xdr:row>0</xdr:row>
      <xdr:rowOff>305285</xdr:rowOff>
    </xdr:from>
    <xdr:to>
      <xdr:col>2</xdr:col>
      <xdr:colOff>1804337</xdr:colOff>
      <xdr:row>0</xdr:row>
      <xdr:rowOff>711848</xdr:rowOff>
    </xdr:to>
    <xdr:pic>
      <xdr:nvPicPr>
        <xdr:cNvPr id="6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339FDE2-9D68-4845-BEB5-E9A3F416F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6974" y="305285"/>
          <a:ext cx="406563" cy="40656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17</xdr:col>
      <xdr:colOff>180975</xdr:colOff>
      <xdr:row>0</xdr:row>
      <xdr:rowOff>533400</xdr:rowOff>
    </xdr:from>
    <xdr:to>
      <xdr:col>19</xdr:col>
      <xdr:colOff>266700</xdr:colOff>
      <xdr:row>1</xdr:row>
      <xdr:rowOff>39235</xdr:rowOff>
    </xdr:to>
    <xdr:sp macro="" textlink="Config!U3">
      <xdr:nvSpPr>
        <xdr:cNvPr id="7" name="CaixaDeTexto 6">
          <a:extLst>
            <a:ext uri="{FF2B5EF4-FFF2-40B4-BE49-F238E27FC236}">
              <a16:creationId xmlns:a16="http://schemas.microsoft.com/office/drawing/2014/main" id="{DF2F4825-0D6A-4C4C-936B-0205E4603D71}"/>
            </a:ext>
          </a:extLst>
        </xdr:cNvPr>
        <xdr:cNvSpPr txBox="1"/>
      </xdr:nvSpPr>
      <xdr:spPr>
        <a:xfrm>
          <a:off x="11772900" y="533400"/>
          <a:ext cx="1304925" cy="267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9443567-83BF-4A80-BFAA-9238A4EAF255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r"/>
            <a:t>24/02/2025</a:t>
          </a:fld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3</xdr:col>
      <xdr:colOff>257175</xdr:colOff>
      <xdr:row>0</xdr:row>
      <xdr:rowOff>295275</xdr:rowOff>
    </xdr:from>
    <xdr:to>
      <xdr:col>4</xdr:col>
      <xdr:colOff>57150</xdr:colOff>
      <xdr:row>0</xdr:row>
      <xdr:rowOff>704850</xdr:rowOff>
    </xdr:to>
    <xdr:pic macro="[0]!update_all">
      <xdr:nvPicPr>
        <xdr:cNvPr id="11" name="Imagem 10">
          <a:extLst>
            <a:ext uri="{FF2B5EF4-FFF2-40B4-BE49-F238E27FC236}">
              <a16:creationId xmlns:a16="http://schemas.microsoft.com/office/drawing/2014/main" id="{5491F235-8F6E-41A5-9CB2-066AD8106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4700" y="295275"/>
          <a:ext cx="409575" cy="4095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E421C47-4802-467F-9C9A-43F7EEBCADAA}" autoFormatId="16" applyNumberFormats="0" applyBorderFormats="0" applyFontFormats="0" applyPatternFormats="0" applyAlignmentFormats="0" applyWidthHeightFormats="0">
  <queryTableRefresh nextId="9">
    <queryTableFields count="8">
      <queryTableField id="1" name="DistinguishedName" tableColumnId="1"/>
      <queryTableField id="2" name="GroupCategory" tableColumnId="2"/>
      <queryTableField id="3" name="GroupScope" tableColumnId="3"/>
      <queryTableField id="4" name="Name" tableColumnId="4"/>
      <queryTableField id="5" name="ObjectClass" tableColumnId="5"/>
      <queryTableField id="6" name="ObjectGUID" tableColumnId="6"/>
      <queryTableField id="7" name="SamAccountName" tableColumnId="7"/>
      <queryTableField id="8" name="SID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B8BC3780-AB16-461B-8D78-CE4A3A972C04}" autoFormatId="16" applyNumberFormats="0" applyBorderFormats="0" applyFontFormats="0" applyPatternFormats="0" applyAlignmentFormats="0" applyWidthHeightFormats="0">
  <queryTableRefresh nextId="4">
    <queryTableFields count="2">
      <queryTableField id="1" name="Grupo" tableColumnId="1"/>
      <queryTableField id="3" name="Quantidade de Usuarios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3" xr16:uid="{5B9EAFEB-E1DC-46B0-86A5-CE464F76C457}" autoFormatId="16" applyNumberFormats="0" applyBorderFormats="0" applyFontFormats="0" applyPatternFormats="0" applyAlignmentFormats="0" applyWidthHeightFormats="0">
  <queryTableRefresh nextId="3">
    <queryTableFields count="2">
      <queryTableField id="1" name="Grupo" tableColumnId="1"/>
      <queryTableField id="2" name="Usuario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174285-B17D-4B36-B234-BBA91A8DDF67}" name="Relatorio_p1" displayName="Relatorio_p1" ref="A1:H6" tableType="queryTable" totalsRowShown="0">
  <autoFilter ref="A1:H6" xr:uid="{9A174285-B17D-4B36-B234-BBA91A8DDF67}"/>
  <tableColumns count="8">
    <tableColumn id="1" xr3:uid="{62008057-A304-4554-9AE0-0BAD8B6D66EB}" uniqueName="1" name="DistinguishedName" queryTableFieldId="1" dataDxfId="14"/>
    <tableColumn id="2" xr3:uid="{E4EC520B-36AA-475D-8581-E8FCF9525981}" uniqueName="2" name="GroupCategory" queryTableFieldId="2" dataDxfId="13"/>
    <tableColumn id="3" xr3:uid="{178E030C-B7DF-42D1-B98D-62C130D1BBC4}" uniqueName="3" name="GroupScope" queryTableFieldId="3" dataDxfId="12"/>
    <tableColumn id="4" xr3:uid="{7BA655CE-9E44-475F-B3B0-99015DA97167}" uniqueName="4" name="Name" queryTableFieldId="4" dataDxfId="11"/>
    <tableColumn id="5" xr3:uid="{47D06EAA-4BDB-4F98-A5E3-1E9C29C423A9}" uniqueName="5" name="ObjectClass" queryTableFieldId="5" dataDxfId="10"/>
    <tableColumn id="6" xr3:uid="{566BC3F9-F4E7-4F5B-8E92-60E212D19036}" uniqueName="6" name="ObjectGUID" queryTableFieldId="6" dataDxfId="9"/>
    <tableColumn id="7" xr3:uid="{ACF2E22F-2C8F-4CD8-8722-0DBC27ADAF00}" uniqueName="7" name="SamAccountName" queryTableFieldId="7" dataDxfId="8"/>
    <tableColumn id="8" xr3:uid="{D6635B6F-9375-43E8-A26A-4B2AC23E1C98}" uniqueName="8" name="SID" queryTableFieldId="8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A475DE-6373-413E-951B-BFFF6DB91DE1}" name="Relatorio_p2" displayName="Relatorio_p2" ref="A1:B6" tableType="queryTable" totalsRowShown="0">
  <autoFilter ref="A1:B6" xr:uid="{A5A475DE-6373-413E-951B-BFFF6DB91DE1}">
    <filterColumn colId="1">
      <customFilters>
        <customFilter operator="greaterThan" val="0"/>
      </customFilters>
    </filterColumn>
  </autoFilter>
  <tableColumns count="2">
    <tableColumn id="1" xr3:uid="{F5DAE522-D504-45DC-BB67-D0CA89DBCE25}" uniqueName="1" name="Grupo" queryTableFieldId="1" dataDxfId="6"/>
    <tableColumn id="3" xr3:uid="{DFDD71D0-E395-4920-A8E2-8464BADDC283}" uniqueName="3" name="Quantidade de Usuarios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2A3BC2-AA8E-4630-8E56-C67D89FCBE00}" name="Relatorio_p3" displayName="Relatorio_p3" ref="A1:B156" tableType="queryTable" totalsRowShown="0">
  <autoFilter ref="A1:B156" xr:uid="{F72A3BC2-AA8E-4630-8E56-C67D89FCBE00}"/>
  <tableColumns count="2">
    <tableColumn id="1" xr3:uid="{68E9C9A6-FEE4-4DBB-8A64-7338598C911B}" uniqueName="1" name="Grupo" queryTableFieldId="1" dataDxfId="5"/>
    <tableColumn id="2" xr3:uid="{4CDB96D4-34B4-4987-8216-AF54B38CAAC8}" uniqueName="2" name="Usuario" queryTableFieldId="2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2A629-706B-435A-A4FC-1E2BF9565922}">
  <sheetPr codeName="Planilha1"/>
  <dimension ref="A1:H6"/>
  <sheetViews>
    <sheetView zoomScaleNormal="100" workbookViewId="0">
      <selection activeCell="A33" sqref="A33"/>
    </sheetView>
  </sheetViews>
  <sheetFormatPr defaultRowHeight="15" x14ac:dyDescent="0.25"/>
  <cols>
    <col min="1" max="1" width="66.7109375" bestFit="1" customWidth="1"/>
    <col min="2" max="2" width="16.85546875" bestFit="1" customWidth="1"/>
    <col min="3" max="3" width="14.140625" bestFit="1" customWidth="1"/>
    <col min="4" max="4" width="35.28515625" bestFit="1" customWidth="1"/>
    <col min="5" max="5" width="13.5703125" bestFit="1" customWidth="1"/>
    <col min="6" max="6" width="37.42578125" bestFit="1" customWidth="1"/>
    <col min="7" max="7" width="35.28515625" bestFit="1" customWidth="1"/>
    <col min="8" max="8" width="45.140625" bestFit="1" customWidth="1"/>
  </cols>
  <sheetData>
    <row r="1" spans="1:8" x14ac:dyDescent="0.25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</row>
    <row r="2" spans="1:8" x14ac:dyDescent="0.25">
      <c r="A2" t="s">
        <v>46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15</v>
      </c>
      <c r="H2" t="s">
        <v>18</v>
      </c>
    </row>
    <row r="3" spans="1:8" x14ac:dyDescent="0.25">
      <c r="A3" t="s">
        <v>47</v>
      </c>
      <c r="B3" t="s">
        <v>13</v>
      </c>
      <c r="C3" t="s">
        <v>14</v>
      </c>
      <c r="D3" t="s">
        <v>19</v>
      </c>
      <c r="E3" t="s">
        <v>16</v>
      </c>
      <c r="F3" t="s">
        <v>20</v>
      </c>
      <c r="G3" t="s">
        <v>19</v>
      </c>
      <c r="H3" t="s">
        <v>21</v>
      </c>
    </row>
    <row r="4" spans="1:8" x14ac:dyDescent="0.25">
      <c r="A4" t="s">
        <v>48</v>
      </c>
      <c r="B4" t="s">
        <v>13</v>
      </c>
      <c r="C4" t="s">
        <v>22</v>
      </c>
      <c r="D4" t="s">
        <v>23</v>
      </c>
      <c r="E4" t="s">
        <v>16</v>
      </c>
      <c r="F4" t="s">
        <v>24</v>
      </c>
      <c r="G4" t="s">
        <v>23</v>
      </c>
      <c r="H4" t="s">
        <v>25</v>
      </c>
    </row>
    <row r="5" spans="1:8" x14ac:dyDescent="0.25">
      <c r="A5" t="s">
        <v>49</v>
      </c>
      <c r="B5" t="s">
        <v>13</v>
      </c>
      <c r="C5" t="s">
        <v>14</v>
      </c>
      <c r="D5" t="s">
        <v>26</v>
      </c>
      <c r="E5" t="s">
        <v>16</v>
      </c>
      <c r="F5" t="s">
        <v>27</v>
      </c>
      <c r="G5" t="s">
        <v>26</v>
      </c>
      <c r="H5" t="s">
        <v>28</v>
      </c>
    </row>
    <row r="6" spans="1:8" x14ac:dyDescent="0.25">
      <c r="A6" t="s">
        <v>50</v>
      </c>
      <c r="B6" t="s">
        <v>13</v>
      </c>
      <c r="C6" t="s">
        <v>14</v>
      </c>
      <c r="D6" t="s">
        <v>29</v>
      </c>
      <c r="E6" t="s">
        <v>16</v>
      </c>
      <c r="F6" t="s">
        <v>30</v>
      </c>
      <c r="G6" t="s">
        <v>29</v>
      </c>
      <c r="H6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AAAC-DCA5-48F0-80B1-4960BB351F10}">
  <sheetPr codeName="Planilha4"/>
  <dimension ref="A1:D7"/>
  <sheetViews>
    <sheetView workbookViewId="0">
      <selection activeCell="A2" sqref="A2:B12"/>
    </sheetView>
  </sheetViews>
  <sheetFormatPr defaultRowHeight="15" x14ac:dyDescent="0.25"/>
  <cols>
    <col min="1" max="1" width="29.7109375" bestFit="1" customWidth="1"/>
    <col min="2" max="2" width="25" bestFit="1" customWidth="1"/>
    <col min="3" max="3" width="11" style="1" bestFit="1" customWidth="1"/>
    <col min="4" max="16384" width="9.140625" style="1"/>
  </cols>
  <sheetData>
    <row r="1" spans="1:4" x14ac:dyDescent="0.25">
      <c r="A1" t="s">
        <v>36</v>
      </c>
      <c r="B1" t="s">
        <v>38</v>
      </c>
    </row>
    <row r="2" spans="1:4" x14ac:dyDescent="0.25">
      <c r="A2" t="s">
        <v>35</v>
      </c>
      <c r="B2">
        <v>305</v>
      </c>
    </row>
    <row r="3" spans="1:4" x14ac:dyDescent="0.25">
      <c r="A3" t="s">
        <v>32</v>
      </c>
      <c r="B3">
        <v>10</v>
      </c>
    </row>
    <row r="4" spans="1:4" x14ac:dyDescent="0.25">
      <c r="A4" t="s">
        <v>29</v>
      </c>
      <c r="B4">
        <v>5</v>
      </c>
    </row>
    <row r="5" spans="1:4" x14ac:dyDescent="0.25">
      <c r="A5" t="s">
        <v>33</v>
      </c>
      <c r="B5">
        <v>2</v>
      </c>
    </row>
    <row r="6" spans="1:4" x14ac:dyDescent="0.25">
      <c r="A6" t="s">
        <v>34</v>
      </c>
      <c r="B6">
        <v>1</v>
      </c>
    </row>
    <row r="7" spans="1:4" ht="15.75" x14ac:dyDescent="0.25">
      <c r="D7" s="9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3A0B1-F2CD-44C1-98B4-84D0451C4FB3}">
  <sheetPr codeName="Planilha5"/>
  <dimension ref="A1:J153"/>
  <sheetViews>
    <sheetView tabSelected="1" workbookViewId="0">
      <selection activeCell="G23" sqref="G23:J23"/>
    </sheetView>
  </sheetViews>
  <sheetFormatPr defaultRowHeight="15" x14ac:dyDescent="0.25"/>
  <cols>
    <col min="1" max="1" width="57.42578125" bestFit="1" customWidth="1"/>
    <col min="2" max="2" width="33.5703125" bestFit="1" customWidth="1"/>
    <col min="3" max="16384" width="9.140625" style="1"/>
  </cols>
  <sheetData>
    <row r="1" spans="1:7" x14ac:dyDescent="0.25">
      <c r="A1" t="s">
        <v>36</v>
      </c>
      <c r="B1" t="s">
        <v>37</v>
      </c>
    </row>
    <row r="2" spans="1:7" x14ac:dyDescent="0.25">
      <c r="A2" t="s">
        <v>51</v>
      </c>
      <c r="B2" t="s">
        <v>55</v>
      </c>
    </row>
    <row r="3" spans="1:7" x14ac:dyDescent="0.25">
      <c r="A3" t="s">
        <v>52</v>
      </c>
      <c r="B3" t="s">
        <v>56</v>
      </c>
    </row>
    <row r="4" spans="1:7" x14ac:dyDescent="0.25">
      <c r="A4" t="s">
        <v>53</v>
      </c>
      <c r="B4" t="s">
        <v>55</v>
      </c>
    </row>
    <row r="5" spans="1:7" x14ac:dyDescent="0.25">
      <c r="A5" t="s">
        <v>54</v>
      </c>
      <c r="B5" t="s">
        <v>56</v>
      </c>
    </row>
    <row r="6" spans="1:7" x14ac:dyDescent="0.25">
      <c r="A6" t="s">
        <v>54</v>
      </c>
      <c r="B6" t="s">
        <v>57</v>
      </c>
    </row>
    <row r="7" spans="1:7" x14ac:dyDescent="0.25">
      <c r="A7" t="s">
        <v>54</v>
      </c>
      <c r="B7" t="s">
        <v>57</v>
      </c>
    </row>
    <row r="8" spans="1:7" x14ac:dyDescent="0.25">
      <c r="A8" t="s">
        <v>54</v>
      </c>
      <c r="B8" t="s">
        <v>57</v>
      </c>
    </row>
    <row r="9" spans="1:7" x14ac:dyDescent="0.25">
      <c r="A9" t="s">
        <v>54</v>
      </c>
      <c r="B9" t="s">
        <v>57</v>
      </c>
    </row>
    <row r="10" spans="1:7" x14ac:dyDescent="0.25">
      <c r="A10" t="s">
        <v>54</v>
      </c>
      <c r="B10" t="s">
        <v>57</v>
      </c>
    </row>
    <row r="11" spans="1:7" x14ac:dyDescent="0.25">
      <c r="A11" t="s">
        <v>45</v>
      </c>
      <c r="B11" t="s">
        <v>57</v>
      </c>
    </row>
    <row r="16" spans="1:7" x14ac:dyDescent="0.25">
      <c r="D16" s="12"/>
      <c r="E16" s="12"/>
      <c r="F16" s="12"/>
      <c r="G16" s="12"/>
    </row>
    <row r="18" spans="7:10" x14ac:dyDescent="0.25">
      <c r="G18" s="12"/>
      <c r="H18" s="12"/>
      <c r="I18" s="12"/>
      <c r="J18" s="12"/>
    </row>
    <row r="19" spans="7:10" x14ac:dyDescent="0.25">
      <c r="G19" s="12"/>
      <c r="H19" s="12"/>
      <c r="I19" s="12"/>
      <c r="J19" s="12"/>
    </row>
    <row r="20" spans="7:10" x14ac:dyDescent="0.25">
      <c r="G20" s="12"/>
      <c r="H20" s="12"/>
      <c r="I20" s="12"/>
      <c r="J20" s="12"/>
    </row>
    <row r="21" spans="7:10" x14ac:dyDescent="0.25">
      <c r="G21" s="12"/>
      <c r="H21" s="12"/>
      <c r="I21" s="12"/>
      <c r="J21" s="12"/>
    </row>
    <row r="22" spans="7:10" x14ac:dyDescent="0.25">
      <c r="G22" s="12"/>
      <c r="H22" s="12"/>
      <c r="I22" s="12"/>
      <c r="J22" s="12"/>
    </row>
    <row r="23" spans="7:10" x14ac:dyDescent="0.25">
      <c r="G23" s="12"/>
      <c r="H23" s="12"/>
      <c r="I23" s="12"/>
      <c r="J23" s="12"/>
    </row>
    <row r="24" spans="7:10" x14ac:dyDescent="0.25">
      <c r="G24" s="12"/>
      <c r="H24" s="12"/>
      <c r="I24" s="12"/>
      <c r="J24" s="12"/>
    </row>
    <row r="25" spans="7:10" x14ac:dyDescent="0.25">
      <c r="G25" s="12"/>
      <c r="H25" s="12"/>
      <c r="I25" s="12"/>
      <c r="J25" s="12"/>
    </row>
    <row r="26" spans="7:10" x14ac:dyDescent="0.25">
      <c r="G26" s="12"/>
      <c r="H26" s="12"/>
      <c r="I26" s="12"/>
      <c r="J26" s="12"/>
    </row>
    <row r="27" spans="7:10" x14ac:dyDescent="0.25">
      <c r="G27" s="12"/>
      <c r="H27" s="12"/>
      <c r="I27" s="12"/>
      <c r="J27" s="12"/>
    </row>
    <row r="28" spans="7:10" x14ac:dyDescent="0.25">
      <c r="G28" s="12"/>
      <c r="H28" s="12"/>
      <c r="I28" s="12"/>
      <c r="J28" s="12"/>
    </row>
    <row r="29" spans="7:10" x14ac:dyDescent="0.25">
      <c r="G29" s="12"/>
      <c r="H29" s="12"/>
      <c r="I29" s="12"/>
      <c r="J29" s="12"/>
    </row>
    <row r="30" spans="7:10" x14ac:dyDescent="0.25">
      <c r="G30" s="12"/>
      <c r="H30" s="12"/>
      <c r="I30" s="12"/>
      <c r="J30" s="12"/>
    </row>
    <row r="31" spans="7:10" x14ac:dyDescent="0.25">
      <c r="G31" s="12"/>
      <c r="H31" s="12"/>
      <c r="I31" s="12"/>
      <c r="J31" s="12"/>
    </row>
    <row r="32" spans="7:10" x14ac:dyDescent="0.25">
      <c r="G32" s="12"/>
      <c r="H32" s="12"/>
      <c r="I32" s="12"/>
      <c r="J32" s="12"/>
    </row>
    <row r="33" spans="7:10" x14ac:dyDescent="0.25">
      <c r="G33" s="12"/>
      <c r="H33" s="12"/>
      <c r="I33" s="12"/>
      <c r="J33" s="12"/>
    </row>
    <row r="153" spans="1:1" x14ac:dyDescent="0.25">
      <c r="A153" s="11"/>
    </row>
  </sheetData>
  <mergeCells count="17">
    <mergeCell ref="D16:G16"/>
    <mergeCell ref="G19:J19"/>
    <mergeCell ref="G20:J20"/>
    <mergeCell ref="G21:J21"/>
    <mergeCell ref="G22:J22"/>
    <mergeCell ref="G30:J30"/>
    <mergeCell ref="G31:J31"/>
    <mergeCell ref="G32:J32"/>
    <mergeCell ref="G33:J33"/>
    <mergeCell ref="G18:J18"/>
    <mergeCell ref="G24:J24"/>
    <mergeCell ref="G25:J25"/>
    <mergeCell ref="G26:J26"/>
    <mergeCell ref="G27:J27"/>
    <mergeCell ref="G28:J28"/>
    <mergeCell ref="G29:J29"/>
    <mergeCell ref="G23:J23"/>
  </mergeCells>
  <phoneticPr fontId="6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C1:AB16"/>
  <sheetViews>
    <sheetView showGridLines="0" zoomScaleNormal="100" workbookViewId="0"/>
  </sheetViews>
  <sheetFormatPr defaultColWidth="9.140625" defaultRowHeight="15" x14ac:dyDescent="0.25"/>
  <cols>
    <col min="1" max="22" width="9.140625" style="1"/>
    <col min="23" max="23" width="10.42578125" style="1" customWidth="1"/>
    <col min="24" max="24" width="10.7109375" style="1" bestFit="1" customWidth="1"/>
    <col min="25" max="16384" width="9.140625" style="1"/>
  </cols>
  <sheetData>
    <row r="1" spans="3:28" ht="60" customHeight="1" thickBot="1" x14ac:dyDescent="0.3"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X1" s="10"/>
      <c r="Y1" s="10"/>
      <c r="Z1" s="10"/>
      <c r="AA1" s="10"/>
      <c r="AB1" s="10"/>
    </row>
    <row r="2" spans="3:28" ht="15.75" thickTop="1" x14ac:dyDescent="0.25"/>
    <row r="3" spans="3:28" ht="15.75" x14ac:dyDescent="0.25">
      <c r="C3" s="4"/>
    </row>
    <row r="5" spans="3:28" ht="15" customHeight="1" x14ac:dyDescent="0.25"/>
    <row r="6" spans="3:28" ht="15" customHeight="1" x14ac:dyDescent="0.25"/>
    <row r="7" spans="3:28" ht="15" customHeight="1" x14ac:dyDescent="0.25"/>
    <row r="8" spans="3:28" ht="15" customHeight="1" x14ac:dyDescent="0.25"/>
    <row r="10" spans="3:28" ht="15" customHeight="1" x14ac:dyDescent="0.25"/>
    <row r="11" spans="3:28" ht="15" customHeight="1" x14ac:dyDescent="0.25"/>
    <row r="12" spans="3:28" ht="15" customHeight="1" x14ac:dyDescent="0.25"/>
    <row r="16" spans="3:28" x14ac:dyDescent="0.25">
      <c r="X16" s="5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4843E-184C-457D-8236-F3B97FA9871E}">
  <sheetPr codeName="Planilha6"/>
  <dimension ref="C1:X16"/>
  <sheetViews>
    <sheetView workbookViewId="0"/>
  </sheetViews>
  <sheetFormatPr defaultColWidth="9.140625" defaultRowHeight="15" x14ac:dyDescent="0.25"/>
  <cols>
    <col min="1" max="22" width="9.140625" style="1"/>
    <col min="23" max="23" width="10.42578125" style="1" customWidth="1"/>
    <col min="24" max="24" width="10.7109375" style="1" bestFit="1" customWidth="1"/>
    <col min="25" max="16384" width="9.140625" style="1"/>
  </cols>
  <sheetData>
    <row r="1" spans="3:24" ht="60" customHeight="1" thickBot="1" x14ac:dyDescent="0.3"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3:24" ht="15.75" thickTop="1" x14ac:dyDescent="0.25"/>
    <row r="3" spans="3:24" ht="15.75" x14ac:dyDescent="0.25">
      <c r="C3" s="4"/>
    </row>
    <row r="5" spans="3:24" ht="15" customHeight="1" x14ac:dyDescent="0.25"/>
    <row r="6" spans="3:24" ht="15" customHeight="1" x14ac:dyDescent="0.25"/>
    <row r="7" spans="3:24" ht="15" customHeight="1" x14ac:dyDescent="0.25"/>
    <row r="8" spans="3:24" ht="15" customHeight="1" x14ac:dyDescent="0.25"/>
    <row r="10" spans="3:24" ht="15" customHeight="1" x14ac:dyDescent="0.25"/>
    <row r="11" spans="3:24" ht="15" customHeight="1" x14ac:dyDescent="0.25"/>
    <row r="12" spans="3:24" ht="15" customHeight="1" x14ac:dyDescent="0.25"/>
    <row r="16" spans="3:24" x14ac:dyDescent="0.25">
      <c r="X16" s="5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DD194-9C76-4C94-9727-197CD8ADEBBD}">
  <sheetPr codeName="Planilha3"/>
  <dimension ref="C1:X1005"/>
  <sheetViews>
    <sheetView workbookViewId="0">
      <selection activeCell="A34" sqref="A34"/>
    </sheetView>
  </sheetViews>
  <sheetFormatPr defaultColWidth="9.140625" defaultRowHeight="15" x14ac:dyDescent="0.25"/>
  <cols>
    <col min="1" max="2" width="9.140625" style="1"/>
    <col min="3" max="3" width="27.5703125" style="1" bestFit="1" customWidth="1"/>
    <col min="4" max="19" width="9.140625" style="1"/>
    <col min="20" max="20" width="19.42578125" style="1" customWidth="1"/>
    <col min="21" max="21" width="10.7109375" style="1" bestFit="1" customWidth="1"/>
    <col min="22" max="22" width="9.140625" style="1"/>
    <col min="23" max="23" width="10.42578125" style="1" customWidth="1"/>
    <col min="24" max="24" width="10.7109375" style="1" bestFit="1" customWidth="1"/>
    <col min="25" max="16384" width="9.140625" style="1"/>
  </cols>
  <sheetData>
    <row r="1" spans="3:22" ht="60" customHeight="1" thickBot="1" x14ac:dyDescent="0.3"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3:22" ht="15.75" thickTop="1" x14ac:dyDescent="0.25"/>
    <row r="3" spans="3:22" x14ac:dyDescent="0.25">
      <c r="C3" s="7" t="s">
        <v>0</v>
      </c>
      <c r="D3" s="7" t="s">
        <v>1</v>
      </c>
      <c r="E3" s="7"/>
      <c r="F3" s="7"/>
      <c r="G3" s="7"/>
      <c r="H3" s="7"/>
      <c r="I3" s="7"/>
      <c r="J3" s="7"/>
      <c r="K3" s="7"/>
      <c r="L3" s="7"/>
      <c r="M3" s="7"/>
      <c r="T3" s="3" t="s">
        <v>2</v>
      </c>
      <c r="U3" s="6">
        <f ca="1">TODAY()</f>
        <v>45712</v>
      </c>
    </row>
    <row r="4" spans="3:22" x14ac:dyDescent="0.25">
      <c r="E4" s="3"/>
    </row>
    <row r="5" spans="3:22" ht="15" customHeight="1" thickBot="1" x14ac:dyDescent="0.3">
      <c r="C5" s="8" t="s">
        <v>3</v>
      </c>
      <c r="E5" s="3"/>
      <c r="K5" s="8" t="s">
        <v>41</v>
      </c>
      <c r="L5" s="2"/>
      <c r="M5" s="2"/>
      <c r="N5" s="2"/>
      <c r="O5" s="8"/>
      <c r="P5" s="8" t="s">
        <v>42</v>
      </c>
      <c r="Q5" s="2"/>
      <c r="R5" s="2"/>
      <c r="S5" s="2"/>
      <c r="T5" s="13" t="s">
        <v>44</v>
      </c>
      <c r="U5" s="13"/>
      <c r="V5" s="13"/>
    </row>
    <row r="6" spans="3:22" ht="15" customHeight="1" thickTop="1" x14ac:dyDescent="0.25">
      <c r="C6" s="3"/>
      <c r="E6" s="3"/>
    </row>
    <row r="7" spans="3:22" ht="15" customHeight="1" x14ac:dyDescent="0.25">
      <c r="C7" s="3" t="s">
        <v>43</v>
      </c>
      <c r="D7" s="3">
        <f>COUNTIF('Relatorio_p2'!$B$2:$B$1722,"&gt;0")</f>
        <v>5</v>
      </c>
      <c r="E7" s="3"/>
      <c r="K7" s="3"/>
      <c r="L7" s="3" t="s">
        <v>13</v>
      </c>
      <c r="M7" s="1">
        <f>COUNTIF('Relatorio_p1'!B2:B721,L7)</f>
        <v>5</v>
      </c>
      <c r="P7" s="3" t="s">
        <v>14</v>
      </c>
      <c r="R7" s="1">
        <f>COUNTIF('Relatorio_p1'!$C$2:$C$721,Config!P7)</f>
        <v>4</v>
      </c>
      <c r="T7" s="3" t="s">
        <v>35</v>
      </c>
      <c r="U7" s="3">
        <v>305</v>
      </c>
      <c r="V7" s="3"/>
    </row>
    <row r="8" spans="3:22" ht="15" customHeight="1" x14ac:dyDescent="0.25">
      <c r="C8" s="3" t="s">
        <v>40</v>
      </c>
      <c r="D8" s="3">
        <f>COUNTIF('Relatorio_p2'!$B$2:$B$1722,"&lt;1")</f>
        <v>0</v>
      </c>
      <c r="E8" s="3"/>
      <c r="K8" s="3"/>
      <c r="L8" s="3"/>
      <c r="M8" s="1">
        <f>COUNTIF('Relatorio_p1'!B3:B722,L8)</f>
        <v>0</v>
      </c>
      <c r="P8" s="3" t="s">
        <v>22</v>
      </c>
      <c r="R8" s="1">
        <f>COUNTIF('Relatorio_p1'!$C$2:$C$721,Config!P8)</f>
        <v>1</v>
      </c>
      <c r="T8" s="3" t="s">
        <v>32</v>
      </c>
      <c r="U8" s="3">
        <v>10</v>
      </c>
      <c r="V8" s="3"/>
    </row>
    <row r="9" spans="3:22" ht="15" customHeight="1" x14ac:dyDescent="0.25">
      <c r="C9" s="3" t="s">
        <v>39</v>
      </c>
      <c r="D9" s="3">
        <f>SUM(D7:D8)</f>
        <v>5</v>
      </c>
      <c r="K9" s="3"/>
      <c r="M9" s="1">
        <f>COUNTIF('Relatorio_p1'!B4:B723,L9)</f>
        <v>0</v>
      </c>
      <c r="P9" s="3"/>
      <c r="R9" s="1">
        <f>COUNTIF('Relatorio_p1'!$C$2:$C$721,Config!P9)</f>
        <v>0</v>
      </c>
      <c r="T9" s="3" t="s">
        <v>29</v>
      </c>
      <c r="U9" s="3">
        <v>5</v>
      </c>
      <c r="V9" s="3"/>
    </row>
    <row r="10" spans="3:22" x14ac:dyDescent="0.25">
      <c r="K10" s="3"/>
      <c r="M10" s="1">
        <f>COUNTIF('Relatorio_p1'!B5:B724,L10)</f>
        <v>0</v>
      </c>
      <c r="P10" s="3"/>
      <c r="R10" s="1">
        <f>COUNTIF('Relatorio_p1'!$C$2:$C$5,Config!P10)</f>
        <v>0</v>
      </c>
      <c r="T10" s="3" t="s">
        <v>33</v>
      </c>
      <c r="U10" s="3">
        <v>2</v>
      </c>
      <c r="V10" s="3"/>
    </row>
    <row r="11" spans="3:22" ht="15" customHeight="1" x14ac:dyDescent="0.25">
      <c r="D11" s="3"/>
      <c r="E11" s="3"/>
      <c r="K11" s="3"/>
      <c r="M11" s="1">
        <f>COUNTIF('Relatorio_p1'!B6:B725,L11)</f>
        <v>0</v>
      </c>
      <c r="P11" s="3"/>
      <c r="R11" s="1">
        <f>COUNTIF('Relatorio_p1'!$C$2:$C$5,Config!P11)</f>
        <v>0</v>
      </c>
      <c r="T11" s="3" t="s">
        <v>34</v>
      </c>
      <c r="U11" s="3">
        <v>1</v>
      </c>
      <c r="V11" s="3"/>
    </row>
    <row r="12" spans="3:22" ht="15" customHeight="1" x14ac:dyDescent="0.25">
      <c r="E12" s="3"/>
      <c r="M12" s="1">
        <f>COUNTIF('Relatorio_p1'!B6:B726,L12)</f>
        <v>0</v>
      </c>
      <c r="P12" s="3"/>
      <c r="R12" s="1">
        <f>COUNTIF('Relatorio_p1'!$C$2:$C$5,Config!P12)</f>
        <v>0</v>
      </c>
      <c r="T12" s="3"/>
      <c r="U12" s="3"/>
      <c r="V12" s="3"/>
    </row>
    <row r="13" spans="3:22" ht="15" customHeight="1" x14ac:dyDescent="0.25">
      <c r="C13" s="3"/>
      <c r="D13" s="3"/>
      <c r="E13" s="3"/>
      <c r="M13" s="1">
        <f>COUNTIF('Relatorio_p1'!B6:B727,L13)</f>
        <v>0</v>
      </c>
      <c r="P13" s="3"/>
      <c r="R13" s="1">
        <f>COUNTIF('Relatorio_p1'!$C$2:$C$5,Config!P13)</f>
        <v>0</v>
      </c>
      <c r="T13" s="3"/>
      <c r="U13" s="3"/>
      <c r="V13" s="3"/>
    </row>
    <row r="14" spans="3:22" x14ac:dyDescent="0.25">
      <c r="C14" s="3"/>
      <c r="D14" s="3"/>
      <c r="E14" s="3"/>
      <c r="M14" s="1">
        <f>COUNTIF('Relatorio_p1'!B6:B728,L14)</f>
        <v>0</v>
      </c>
      <c r="P14" s="3"/>
      <c r="R14" s="1">
        <f>COUNTIF('Relatorio_p1'!$C$2:$C$5,Config!P14)</f>
        <v>0</v>
      </c>
      <c r="T14" s="3"/>
      <c r="U14" s="3"/>
      <c r="V14" s="3"/>
    </row>
    <row r="15" spans="3:22" x14ac:dyDescent="0.25">
      <c r="C15" s="3"/>
      <c r="D15" s="3"/>
      <c r="E15" s="3"/>
      <c r="M15" s="1">
        <f>COUNTIF('Relatorio_p1'!B6:B729,L15)</f>
        <v>0</v>
      </c>
      <c r="P15" s="3"/>
      <c r="R15" s="1">
        <f>COUNTIF('Relatorio_p1'!$C$2:$C$5,Config!P15)</f>
        <v>0</v>
      </c>
      <c r="T15" s="3"/>
      <c r="U15" s="3"/>
      <c r="V15" s="3"/>
    </row>
    <row r="16" spans="3:22" ht="15.75" thickBot="1" x14ac:dyDescent="0.3">
      <c r="C16" s="8" t="s">
        <v>4</v>
      </c>
      <c r="D16" s="3"/>
      <c r="E16" s="3"/>
      <c r="M16" s="1">
        <f>COUNTIF('Relatorio_p1'!B6:B730,L16)</f>
        <v>0</v>
      </c>
      <c r="P16" s="3"/>
      <c r="R16" s="1">
        <f>COUNTIF('Relatorio_p1'!$C$2:$C$5,Config!P16)</f>
        <v>0</v>
      </c>
      <c r="T16" s="3"/>
      <c r="U16" s="3"/>
      <c r="V16" s="3"/>
    </row>
    <row r="17" spans="3:24" ht="15.75" thickTop="1" x14ac:dyDescent="0.25">
      <c r="C17" s="3"/>
      <c r="D17" s="3"/>
      <c r="E17" s="3"/>
      <c r="M17" s="1">
        <f>COUNTIF('Relatorio_p1'!B6:B731,L17)</f>
        <v>0</v>
      </c>
      <c r="P17" s="3"/>
      <c r="R17" s="1">
        <f>COUNTIF('Relatorio_p1'!$C$2:$C$5,Config!P17)</f>
        <v>0</v>
      </c>
      <c r="T17" s="3"/>
      <c r="U17" s="3"/>
      <c r="V17" s="3"/>
      <c r="X17" s="5"/>
    </row>
    <row r="18" spans="3:24" x14ac:dyDescent="0.25">
      <c r="E18" s="3"/>
      <c r="M18" s="1">
        <f>COUNTIF('Relatorio_p1'!B6:B732,L18)</f>
        <v>0</v>
      </c>
      <c r="P18" s="3"/>
      <c r="R18" s="1">
        <f>COUNTIF('Relatorio_p1'!$C$2:$C$5,Config!P18)</f>
        <v>0</v>
      </c>
      <c r="T18" s="3"/>
      <c r="U18" s="3"/>
      <c r="V18" s="3"/>
    </row>
    <row r="19" spans="3:24" x14ac:dyDescent="0.25">
      <c r="C19" s="3"/>
      <c r="D19" s="3"/>
      <c r="E19" s="3"/>
      <c r="M19" s="1">
        <f>COUNTIF('Relatorio_p1'!B6:B733,L19)</f>
        <v>0</v>
      </c>
      <c r="P19" s="3"/>
      <c r="R19" s="1">
        <f>COUNTIF('Relatorio_p1'!$C$2:$C$5,Config!P19)</f>
        <v>0</v>
      </c>
      <c r="T19" s="3"/>
      <c r="U19" s="3"/>
      <c r="V19" s="3"/>
    </row>
    <row r="20" spans="3:24" x14ac:dyDescent="0.25">
      <c r="C20" s="3"/>
      <c r="D20" s="3"/>
      <c r="E20" s="3"/>
      <c r="M20" s="1">
        <f>COUNTIF('Relatorio_p1'!B6:B734,L20)</f>
        <v>0</v>
      </c>
      <c r="P20" s="3"/>
      <c r="R20" s="1">
        <f>COUNTIF('Relatorio_p1'!$C$2:$C$5,Config!P20)</f>
        <v>0</v>
      </c>
    </row>
    <row r="21" spans="3:24" x14ac:dyDescent="0.25">
      <c r="C21" s="3"/>
      <c r="D21" s="3"/>
      <c r="E21" s="3"/>
      <c r="F21" s="3"/>
      <c r="G21" s="3"/>
      <c r="H21" s="3"/>
      <c r="I21" s="3"/>
      <c r="M21" s="1">
        <f>COUNTIF('Relatorio_p1'!B6:B735,L21)</f>
        <v>0</v>
      </c>
      <c r="P21" s="3"/>
      <c r="R21" s="1">
        <f>COUNTIF('Relatorio_p1'!$C$2:$C$5,Config!P21)</f>
        <v>0</v>
      </c>
    </row>
    <row r="22" spans="3:24" x14ac:dyDescent="0.25">
      <c r="C22" s="3"/>
      <c r="D22" s="3"/>
      <c r="E22" s="3"/>
      <c r="F22" s="3"/>
      <c r="G22" s="3"/>
      <c r="H22" s="3"/>
      <c r="I22" s="3"/>
      <c r="M22" s="1">
        <f>COUNTIF('Relatorio_p1'!B6:B736,L22)</f>
        <v>0</v>
      </c>
      <c r="P22" s="3"/>
      <c r="R22" s="1">
        <f>COUNTIF('Relatorio_p1'!$C$2:$C$5,Config!P22)</f>
        <v>0</v>
      </c>
    </row>
    <row r="23" spans="3:24" x14ac:dyDescent="0.25">
      <c r="C23" s="3"/>
      <c r="D23" s="3"/>
      <c r="E23" s="3"/>
      <c r="F23" s="3"/>
      <c r="G23" s="3"/>
      <c r="H23" s="3"/>
      <c r="I23" s="3"/>
      <c r="M23" s="1">
        <f>COUNTIF('Relatorio_p1'!B6:B737,L23)</f>
        <v>0</v>
      </c>
      <c r="P23" s="3"/>
      <c r="R23" s="1">
        <f>COUNTIF('Relatorio_p1'!$C$2:$C$5,Config!P23)</f>
        <v>0</v>
      </c>
    </row>
    <row r="24" spans="3:24" x14ac:dyDescent="0.25">
      <c r="C24" s="3"/>
      <c r="D24" s="3"/>
      <c r="E24" s="3"/>
      <c r="F24" s="3"/>
      <c r="G24" s="3"/>
      <c r="H24" s="3"/>
      <c r="I24" s="3"/>
      <c r="M24" s="1">
        <f>COUNTIF('Relatorio_p1'!B6:B738,L24)</f>
        <v>0</v>
      </c>
      <c r="P24" s="3"/>
      <c r="R24" s="1">
        <f>COUNTIF('Relatorio_p1'!$C$2:$C$5,Config!P24)</f>
        <v>0</v>
      </c>
    </row>
    <row r="25" spans="3:24" x14ac:dyDescent="0.25">
      <c r="C25" s="3"/>
      <c r="D25" s="3"/>
      <c r="E25" s="3"/>
      <c r="F25" s="3"/>
      <c r="G25" s="3"/>
      <c r="H25" s="3"/>
      <c r="I25" s="3"/>
      <c r="M25" s="1">
        <f>COUNTIF('Relatorio_p1'!B6:B739,L25)</f>
        <v>0</v>
      </c>
      <c r="P25" s="3"/>
      <c r="R25" s="1">
        <f>COUNTIF('Relatorio_p1'!$C$2:$C$5,Config!P25)</f>
        <v>0</v>
      </c>
    </row>
    <row r="26" spans="3:24" x14ac:dyDescent="0.25">
      <c r="C26" s="3"/>
      <c r="D26" s="3"/>
      <c r="E26" s="3"/>
      <c r="F26" s="3"/>
      <c r="G26" s="3"/>
      <c r="H26" s="3"/>
      <c r="I26" s="3"/>
      <c r="M26" s="1">
        <f>COUNTIF('Relatorio_p1'!B6:B740,L26)</f>
        <v>0</v>
      </c>
      <c r="P26" s="3"/>
      <c r="R26" s="1">
        <f>COUNTIF('Relatorio_p1'!$C$2:$C$5,Config!P26)</f>
        <v>0</v>
      </c>
    </row>
    <row r="27" spans="3:24" x14ac:dyDescent="0.25">
      <c r="M27" s="1">
        <f>COUNTIF('Relatorio_p1'!B6:B741,L27)</f>
        <v>0</v>
      </c>
      <c r="P27" s="3"/>
      <c r="R27" s="1">
        <f>COUNTIF('Relatorio_p1'!$C$2:$C$5,Config!P27)</f>
        <v>0</v>
      </c>
    </row>
    <row r="28" spans="3:24" x14ac:dyDescent="0.25">
      <c r="M28" s="1">
        <f>COUNTIF('Relatorio_p1'!B6:B742,L28)</f>
        <v>0</v>
      </c>
      <c r="P28" s="3"/>
      <c r="R28" s="1">
        <f>COUNTIF('Relatorio_p1'!$C$2:$C$5,Config!P28)</f>
        <v>0</v>
      </c>
    </row>
    <row r="29" spans="3:24" x14ac:dyDescent="0.25">
      <c r="M29" s="1">
        <f>COUNTIF(Relatorio_p1[GroupCategory],K29)</f>
        <v>0</v>
      </c>
      <c r="P29" s="3"/>
    </row>
    <row r="30" spans="3:24" x14ac:dyDescent="0.25">
      <c r="P30" s="3"/>
    </row>
    <row r="31" spans="3:24" x14ac:dyDescent="0.25">
      <c r="P31" s="3"/>
    </row>
    <row r="32" spans="3:24" x14ac:dyDescent="0.25">
      <c r="P32" s="3"/>
    </row>
    <row r="33" spans="3:16" x14ac:dyDescent="0.25">
      <c r="P33" s="3"/>
    </row>
    <row r="34" spans="3:16" x14ac:dyDescent="0.25">
      <c r="P34" s="3"/>
    </row>
    <row r="35" spans="3:16" x14ac:dyDescent="0.25">
      <c r="P35" s="3"/>
    </row>
    <row r="36" spans="3:16" x14ac:dyDescent="0.25">
      <c r="P36" s="3"/>
    </row>
    <row r="37" spans="3:16" x14ac:dyDescent="0.25">
      <c r="P37" s="3"/>
    </row>
    <row r="38" spans="3:16" x14ac:dyDescent="0.25">
      <c r="P38" s="3"/>
    </row>
    <row r="39" spans="3:16" x14ac:dyDescent="0.25">
      <c r="P39" s="3"/>
    </row>
    <row r="40" spans="3:16" x14ac:dyDescent="0.25">
      <c r="C40" s="3"/>
      <c r="P40" s="3"/>
    </row>
    <row r="41" spans="3:16" x14ac:dyDescent="0.25">
      <c r="P41" s="3"/>
    </row>
    <row r="42" spans="3:16" x14ac:dyDescent="0.25">
      <c r="P42" s="3"/>
    </row>
    <row r="43" spans="3:16" x14ac:dyDescent="0.25">
      <c r="P43" s="3"/>
    </row>
    <row r="44" spans="3:16" x14ac:dyDescent="0.25">
      <c r="P44" s="3"/>
    </row>
    <row r="45" spans="3:16" x14ac:dyDescent="0.25">
      <c r="P45" s="3"/>
    </row>
    <row r="46" spans="3:16" x14ac:dyDescent="0.25">
      <c r="P46" s="3"/>
    </row>
    <row r="47" spans="3:16" x14ac:dyDescent="0.25">
      <c r="P47" s="3"/>
    </row>
    <row r="48" spans="3:16" x14ac:dyDescent="0.25">
      <c r="P48" s="3"/>
    </row>
    <row r="49" spans="16:16" x14ac:dyDescent="0.25">
      <c r="P49" s="3"/>
    </row>
    <row r="50" spans="16:16" x14ac:dyDescent="0.25">
      <c r="P50" s="3"/>
    </row>
    <row r="51" spans="16:16" x14ac:dyDescent="0.25">
      <c r="P51" s="3"/>
    </row>
    <row r="52" spans="16:16" x14ac:dyDescent="0.25">
      <c r="P52" s="3"/>
    </row>
    <row r="53" spans="16:16" x14ac:dyDescent="0.25">
      <c r="P53" s="3"/>
    </row>
    <row r="54" spans="16:16" x14ac:dyDescent="0.25">
      <c r="P54" s="3"/>
    </row>
    <row r="55" spans="16:16" x14ac:dyDescent="0.25">
      <c r="P55" s="3"/>
    </row>
    <row r="56" spans="16:16" x14ac:dyDescent="0.25">
      <c r="P56" s="3"/>
    </row>
    <row r="57" spans="16:16" x14ac:dyDescent="0.25">
      <c r="P57" s="3"/>
    </row>
    <row r="58" spans="16:16" x14ac:dyDescent="0.25">
      <c r="P58" s="3"/>
    </row>
    <row r="59" spans="16:16" x14ac:dyDescent="0.25">
      <c r="P59" s="3"/>
    </row>
    <row r="60" spans="16:16" x14ac:dyDescent="0.25">
      <c r="P60" s="3"/>
    </row>
    <row r="61" spans="16:16" x14ac:dyDescent="0.25">
      <c r="P61" s="3"/>
    </row>
    <row r="62" spans="16:16" x14ac:dyDescent="0.25">
      <c r="P62" s="3"/>
    </row>
    <row r="63" spans="16:16" x14ac:dyDescent="0.25">
      <c r="P63" s="3"/>
    </row>
    <row r="64" spans="16:16" x14ac:dyDescent="0.25">
      <c r="P64" s="3"/>
    </row>
    <row r="65" spans="16:16" x14ac:dyDescent="0.25">
      <c r="P65" s="3"/>
    </row>
    <row r="66" spans="16:16" x14ac:dyDescent="0.25">
      <c r="P66" s="3"/>
    </row>
    <row r="67" spans="16:16" x14ac:dyDescent="0.25">
      <c r="P67" s="3"/>
    </row>
    <row r="68" spans="16:16" x14ac:dyDescent="0.25">
      <c r="P68" s="3"/>
    </row>
    <row r="69" spans="16:16" x14ac:dyDescent="0.25">
      <c r="P69" s="3"/>
    </row>
    <row r="70" spans="16:16" x14ac:dyDescent="0.25">
      <c r="P70" s="3"/>
    </row>
    <row r="71" spans="16:16" x14ac:dyDescent="0.25">
      <c r="P71" s="3"/>
    </row>
    <row r="72" spans="16:16" x14ac:dyDescent="0.25">
      <c r="P72" s="3"/>
    </row>
    <row r="73" spans="16:16" x14ac:dyDescent="0.25">
      <c r="P73" s="3"/>
    </row>
    <row r="74" spans="16:16" x14ac:dyDescent="0.25">
      <c r="P74" s="3"/>
    </row>
    <row r="75" spans="16:16" x14ac:dyDescent="0.25">
      <c r="P75" s="3"/>
    </row>
    <row r="76" spans="16:16" x14ac:dyDescent="0.25">
      <c r="P76" s="3"/>
    </row>
    <row r="77" spans="16:16" x14ac:dyDescent="0.25">
      <c r="P77" s="3"/>
    </row>
    <row r="78" spans="16:16" x14ac:dyDescent="0.25">
      <c r="P78" s="3"/>
    </row>
    <row r="79" spans="16:16" x14ac:dyDescent="0.25">
      <c r="P79" s="3"/>
    </row>
    <row r="80" spans="16:16" x14ac:dyDescent="0.25">
      <c r="P80" s="3"/>
    </row>
    <row r="81" spans="16:16" x14ac:dyDescent="0.25">
      <c r="P81" s="3"/>
    </row>
    <row r="82" spans="16:16" x14ac:dyDescent="0.25">
      <c r="P82" s="3"/>
    </row>
    <row r="83" spans="16:16" x14ac:dyDescent="0.25">
      <c r="P83" s="3"/>
    </row>
    <row r="84" spans="16:16" x14ac:dyDescent="0.25">
      <c r="P84" s="3"/>
    </row>
    <row r="85" spans="16:16" x14ac:dyDescent="0.25">
      <c r="P85" s="3"/>
    </row>
    <row r="86" spans="16:16" x14ac:dyDescent="0.25">
      <c r="P86" s="3"/>
    </row>
    <row r="87" spans="16:16" x14ac:dyDescent="0.25">
      <c r="P87" s="3"/>
    </row>
    <row r="88" spans="16:16" x14ac:dyDescent="0.25">
      <c r="P88" s="3"/>
    </row>
    <row r="89" spans="16:16" x14ac:dyDescent="0.25">
      <c r="P89" s="3"/>
    </row>
    <row r="90" spans="16:16" x14ac:dyDescent="0.25">
      <c r="P90" s="3"/>
    </row>
    <row r="91" spans="16:16" x14ac:dyDescent="0.25">
      <c r="P91" s="3"/>
    </row>
    <row r="92" spans="16:16" x14ac:dyDescent="0.25">
      <c r="P92" s="3"/>
    </row>
    <row r="93" spans="16:16" x14ac:dyDescent="0.25">
      <c r="P93" s="3"/>
    </row>
    <row r="94" spans="16:16" x14ac:dyDescent="0.25">
      <c r="P94" s="3"/>
    </row>
    <row r="95" spans="16:16" x14ac:dyDescent="0.25">
      <c r="P95" s="3"/>
    </row>
    <row r="96" spans="16:16" x14ac:dyDescent="0.25">
      <c r="P96" s="3"/>
    </row>
    <row r="97" spans="16:16" x14ac:dyDescent="0.25">
      <c r="P97" s="3"/>
    </row>
    <row r="98" spans="16:16" x14ac:dyDescent="0.25">
      <c r="P98" s="3"/>
    </row>
    <row r="99" spans="16:16" x14ac:dyDescent="0.25">
      <c r="P99" s="3"/>
    </row>
    <row r="100" spans="16:16" x14ac:dyDescent="0.25">
      <c r="P100" s="3"/>
    </row>
    <row r="101" spans="16:16" x14ac:dyDescent="0.25">
      <c r="P101" s="3"/>
    </row>
    <row r="102" spans="16:16" x14ac:dyDescent="0.25">
      <c r="P102" s="3"/>
    </row>
    <row r="103" spans="16:16" x14ac:dyDescent="0.25">
      <c r="P103" s="3"/>
    </row>
    <row r="104" spans="16:16" x14ac:dyDescent="0.25">
      <c r="P104" s="3"/>
    </row>
    <row r="105" spans="16:16" x14ac:dyDescent="0.25">
      <c r="P105" s="3"/>
    </row>
    <row r="106" spans="16:16" x14ac:dyDescent="0.25">
      <c r="P106" s="3"/>
    </row>
    <row r="107" spans="16:16" x14ac:dyDescent="0.25">
      <c r="P107" s="3"/>
    </row>
    <row r="108" spans="16:16" x14ac:dyDescent="0.25">
      <c r="P108" s="3"/>
    </row>
    <row r="109" spans="16:16" x14ac:dyDescent="0.25">
      <c r="P109" s="3"/>
    </row>
    <row r="110" spans="16:16" x14ac:dyDescent="0.25">
      <c r="P110" s="3"/>
    </row>
    <row r="111" spans="16:16" x14ac:dyDescent="0.25">
      <c r="P111" s="3"/>
    </row>
    <row r="112" spans="16:16" x14ac:dyDescent="0.25">
      <c r="P112" s="3"/>
    </row>
    <row r="113" spans="16:16" x14ac:dyDescent="0.25">
      <c r="P113" s="3"/>
    </row>
    <row r="114" spans="16:16" x14ac:dyDescent="0.25">
      <c r="P114" s="3"/>
    </row>
    <row r="115" spans="16:16" x14ac:dyDescent="0.25">
      <c r="P115" s="3"/>
    </row>
    <row r="116" spans="16:16" x14ac:dyDescent="0.25">
      <c r="P116" s="3"/>
    </row>
    <row r="117" spans="16:16" x14ac:dyDescent="0.25">
      <c r="P117" s="3"/>
    </row>
    <row r="118" spans="16:16" x14ac:dyDescent="0.25">
      <c r="P118" s="3"/>
    </row>
    <row r="119" spans="16:16" x14ac:dyDescent="0.25">
      <c r="P119" s="3"/>
    </row>
    <row r="120" spans="16:16" x14ac:dyDescent="0.25">
      <c r="P120" s="3"/>
    </row>
    <row r="121" spans="16:16" x14ac:dyDescent="0.25">
      <c r="P121" s="3"/>
    </row>
    <row r="122" spans="16:16" x14ac:dyDescent="0.25">
      <c r="P122" s="3"/>
    </row>
    <row r="123" spans="16:16" x14ac:dyDescent="0.25">
      <c r="P123" s="3"/>
    </row>
    <row r="124" spans="16:16" x14ac:dyDescent="0.25">
      <c r="P124" s="3"/>
    </row>
    <row r="125" spans="16:16" x14ac:dyDescent="0.25">
      <c r="P125" s="3"/>
    </row>
    <row r="126" spans="16:16" x14ac:dyDescent="0.25">
      <c r="P126" s="3"/>
    </row>
    <row r="127" spans="16:16" x14ac:dyDescent="0.25">
      <c r="P127" s="3"/>
    </row>
    <row r="128" spans="16:16" x14ac:dyDescent="0.25">
      <c r="P128" s="3"/>
    </row>
    <row r="129" spans="16:16" x14ac:dyDescent="0.25">
      <c r="P129" s="3"/>
    </row>
    <row r="130" spans="16:16" x14ac:dyDescent="0.25">
      <c r="P130" s="3"/>
    </row>
    <row r="131" spans="16:16" x14ac:dyDescent="0.25">
      <c r="P131" s="3"/>
    </row>
    <row r="132" spans="16:16" x14ac:dyDescent="0.25">
      <c r="P132" s="3"/>
    </row>
    <row r="133" spans="16:16" x14ac:dyDescent="0.25">
      <c r="P133" s="3"/>
    </row>
    <row r="134" spans="16:16" x14ac:dyDescent="0.25">
      <c r="P134" s="3"/>
    </row>
    <row r="135" spans="16:16" x14ac:dyDescent="0.25">
      <c r="P135" s="3"/>
    </row>
    <row r="136" spans="16:16" x14ac:dyDescent="0.25">
      <c r="P136" s="3"/>
    </row>
    <row r="137" spans="16:16" x14ac:dyDescent="0.25">
      <c r="P137" s="3"/>
    </row>
    <row r="138" spans="16:16" x14ac:dyDescent="0.25">
      <c r="P138" s="3"/>
    </row>
    <row r="139" spans="16:16" x14ac:dyDescent="0.25">
      <c r="P139" s="3"/>
    </row>
    <row r="140" spans="16:16" x14ac:dyDescent="0.25">
      <c r="P140" s="3"/>
    </row>
    <row r="141" spans="16:16" x14ac:dyDescent="0.25">
      <c r="P141" s="3"/>
    </row>
    <row r="142" spans="16:16" x14ac:dyDescent="0.25">
      <c r="P142" s="3"/>
    </row>
    <row r="143" spans="16:16" x14ac:dyDescent="0.25">
      <c r="P143" s="3"/>
    </row>
    <row r="144" spans="16:16" x14ac:dyDescent="0.25">
      <c r="P144" s="3"/>
    </row>
    <row r="145" spans="16:16" x14ac:dyDescent="0.25">
      <c r="P145" s="3"/>
    </row>
    <row r="146" spans="16:16" x14ac:dyDescent="0.25">
      <c r="P146" s="3"/>
    </row>
    <row r="147" spans="16:16" x14ac:dyDescent="0.25">
      <c r="P147" s="3"/>
    </row>
    <row r="148" spans="16:16" x14ac:dyDescent="0.25">
      <c r="P148" s="3"/>
    </row>
    <row r="149" spans="16:16" x14ac:dyDescent="0.25">
      <c r="P149" s="3"/>
    </row>
    <row r="150" spans="16:16" x14ac:dyDescent="0.25">
      <c r="P150" s="3"/>
    </row>
    <row r="151" spans="16:16" x14ac:dyDescent="0.25">
      <c r="P151" s="3"/>
    </row>
    <row r="152" spans="16:16" x14ac:dyDescent="0.25">
      <c r="P152" s="3"/>
    </row>
    <row r="153" spans="16:16" x14ac:dyDescent="0.25">
      <c r="P153" s="3"/>
    </row>
    <row r="154" spans="16:16" x14ac:dyDescent="0.25">
      <c r="P154" s="3"/>
    </row>
    <row r="155" spans="16:16" x14ac:dyDescent="0.25">
      <c r="P155" s="3"/>
    </row>
    <row r="156" spans="16:16" x14ac:dyDescent="0.25">
      <c r="P156" s="3"/>
    </row>
    <row r="157" spans="16:16" x14ac:dyDescent="0.25">
      <c r="P157" s="3"/>
    </row>
    <row r="158" spans="16:16" x14ac:dyDescent="0.25">
      <c r="P158" s="3"/>
    </row>
    <row r="159" spans="16:16" x14ac:dyDescent="0.25">
      <c r="P159" s="3"/>
    </row>
    <row r="160" spans="16:16" x14ac:dyDescent="0.25">
      <c r="P160" s="3"/>
    </row>
    <row r="161" spans="16:16" x14ac:dyDescent="0.25">
      <c r="P161" s="3"/>
    </row>
    <row r="162" spans="16:16" x14ac:dyDescent="0.25">
      <c r="P162" s="3"/>
    </row>
    <row r="163" spans="16:16" x14ac:dyDescent="0.25">
      <c r="P163" s="3"/>
    </row>
    <row r="164" spans="16:16" x14ac:dyDescent="0.25">
      <c r="P164" s="3"/>
    </row>
    <row r="165" spans="16:16" x14ac:dyDescent="0.25">
      <c r="P165" s="3"/>
    </row>
    <row r="166" spans="16:16" x14ac:dyDescent="0.25">
      <c r="P166" s="3"/>
    </row>
    <row r="167" spans="16:16" x14ac:dyDescent="0.25">
      <c r="P167" s="3"/>
    </row>
    <row r="168" spans="16:16" x14ac:dyDescent="0.25">
      <c r="P168" s="3"/>
    </row>
    <row r="169" spans="16:16" x14ac:dyDescent="0.25">
      <c r="P169" s="3"/>
    </row>
    <row r="170" spans="16:16" x14ac:dyDescent="0.25">
      <c r="P170" s="3"/>
    </row>
    <row r="171" spans="16:16" x14ac:dyDescent="0.25">
      <c r="P171" s="3"/>
    </row>
    <row r="172" spans="16:16" x14ac:dyDescent="0.25">
      <c r="P172" s="3"/>
    </row>
    <row r="173" spans="16:16" x14ac:dyDescent="0.25">
      <c r="P173" s="3"/>
    </row>
    <row r="174" spans="16:16" x14ac:dyDescent="0.25">
      <c r="P174" s="3"/>
    </row>
    <row r="175" spans="16:16" x14ac:dyDescent="0.25">
      <c r="P175" s="3"/>
    </row>
    <row r="176" spans="16:16" x14ac:dyDescent="0.25">
      <c r="P176" s="3"/>
    </row>
    <row r="177" spans="16:16" x14ac:dyDescent="0.25">
      <c r="P177" s="3"/>
    </row>
    <row r="178" spans="16:16" x14ac:dyDescent="0.25">
      <c r="P178" s="3"/>
    </row>
    <row r="179" spans="16:16" x14ac:dyDescent="0.25">
      <c r="P179" s="3"/>
    </row>
    <row r="180" spans="16:16" x14ac:dyDescent="0.25">
      <c r="P180" s="3"/>
    </row>
    <row r="181" spans="16:16" x14ac:dyDescent="0.25">
      <c r="P181" s="3"/>
    </row>
    <row r="182" spans="16:16" x14ac:dyDescent="0.25">
      <c r="P182" s="3"/>
    </row>
    <row r="183" spans="16:16" x14ac:dyDescent="0.25">
      <c r="P183" s="3"/>
    </row>
    <row r="184" spans="16:16" x14ac:dyDescent="0.25">
      <c r="P184" s="3"/>
    </row>
    <row r="185" spans="16:16" x14ac:dyDescent="0.25">
      <c r="P185" s="3"/>
    </row>
    <row r="186" spans="16:16" x14ac:dyDescent="0.25">
      <c r="P186" s="3"/>
    </row>
    <row r="187" spans="16:16" x14ac:dyDescent="0.25">
      <c r="P187" s="3"/>
    </row>
    <row r="188" spans="16:16" x14ac:dyDescent="0.25">
      <c r="P188" s="3"/>
    </row>
    <row r="189" spans="16:16" x14ac:dyDescent="0.25">
      <c r="P189" s="3"/>
    </row>
    <row r="190" spans="16:16" x14ac:dyDescent="0.25">
      <c r="P190" s="3"/>
    </row>
    <row r="191" spans="16:16" x14ac:dyDescent="0.25">
      <c r="P191" s="3"/>
    </row>
    <row r="192" spans="16:16" x14ac:dyDescent="0.25">
      <c r="P192" s="3"/>
    </row>
    <row r="193" spans="16:16" x14ac:dyDescent="0.25">
      <c r="P193" s="3"/>
    </row>
    <row r="194" spans="16:16" x14ac:dyDescent="0.25">
      <c r="P194" s="3"/>
    </row>
    <row r="195" spans="16:16" x14ac:dyDescent="0.25">
      <c r="P195" s="3"/>
    </row>
    <row r="196" spans="16:16" x14ac:dyDescent="0.25">
      <c r="P196" s="3"/>
    </row>
    <row r="197" spans="16:16" x14ac:dyDescent="0.25">
      <c r="P197" s="3"/>
    </row>
    <row r="198" spans="16:16" x14ac:dyDescent="0.25">
      <c r="P198" s="3"/>
    </row>
    <row r="199" spans="16:16" x14ac:dyDescent="0.25">
      <c r="P199" s="3"/>
    </row>
    <row r="200" spans="16:16" x14ac:dyDescent="0.25">
      <c r="P200" s="3"/>
    </row>
    <row r="201" spans="16:16" x14ac:dyDescent="0.25">
      <c r="P201" s="3"/>
    </row>
    <row r="202" spans="16:16" x14ac:dyDescent="0.25">
      <c r="P202" s="3"/>
    </row>
    <row r="203" spans="16:16" x14ac:dyDescent="0.25">
      <c r="P203" s="3"/>
    </row>
    <row r="204" spans="16:16" x14ac:dyDescent="0.25">
      <c r="P204" s="3"/>
    </row>
    <row r="205" spans="16:16" x14ac:dyDescent="0.25">
      <c r="P205" s="3"/>
    </row>
    <row r="206" spans="16:16" x14ac:dyDescent="0.25">
      <c r="P206" s="3"/>
    </row>
    <row r="207" spans="16:16" x14ac:dyDescent="0.25">
      <c r="P207" s="3"/>
    </row>
    <row r="208" spans="16:16" x14ac:dyDescent="0.25">
      <c r="P208" s="3"/>
    </row>
    <row r="209" spans="16:16" x14ac:dyDescent="0.25">
      <c r="P209" s="3"/>
    </row>
    <row r="210" spans="16:16" x14ac:dyDescent="0.25">
      <c r="P210" s="3"/>
    </row>
    <row r="211" spans="16:16" x14ac:dyDescent="0.25">
      <c r="P211" s="3"/>
    </row>
    <row r="212" spans="16:16" x14ac:dyDescent="0.25">
      <c r="P212" s="3"/>
    </row>
    <row r="213" spans="16:16" x14ac:dyDescent="0.25">
      <c r="P213" s="3"/>
    </row>
    <row r="214" spans="16:16" x14ac:dyDescent="0.25">
      <c r="P214" s="3"/>
    </row>
    <row r="215" spans="16:16" x14ac:dyDescent="0.25">
      <c r="P215" s="3"/>
    </row>
    <row r="216" spans="16:16" x14ac:dyDescent="0.25">
      <c r="P216" s="3"/>
    </row>
    <row r="217" spans="16:16" x14ac:dyDescent="0.25">
      <c r="P217" s="3"/>
    </row>
    <row r="218" spans="16:16" x14ac:dyDescent="0.25">
      <c r="P218" s="3"/>
    </row>
    <row r="219" spans="16:16" x14ac:dyDescent="0.25">
      <c r="P219" s="3"/>
    </row>
    <row r="220" spans="16:16" x14ac:dyDescent="0.25">
      <c r="P220" s="3"/>
    </row>
    <row r="221" spans="16:16" x14ac:dyDescent="0.25">
      <c r="P221" s="3"/>
    </row>
    <row r="222" spans="16:16" x14ac:dyDescent="0.25">
      <c r="P222" s="3"/>
    </row>
    <row r="223" spans="16:16" x14ac:dyDescent="0.25">
      <c r="P223" s="3"/>
    </row>
    <row r="224" spans="16:16" x14ac:dyDescent="0.25">
      <c r="P224" s="3"/>
    </row>
    <row r="225" spans="16:16" x14ac:dyDescent="0.25">
      <c r="P225" s="3"/>
    </row>
    <row r="226" spans="16:16" x14ac:dyDescent="0.25">
      <c r="P226" s="3"/>
    </row>
    <row r="227" spans="16:16" x14ac:dyDescent="0.25">
      <c r="P227" s="3"/>
    </row>
    <row r="228" spans="16:16" x14ac:dyDescent="0.25">
      <c r="P228" s="3"/>
    </row>
    <row r="229" spans="16:16" x14ac:dyDescent="0.25">
      <c r="P229" s="3"/>
    </row>
    <row r="230" spans="16:16" x14ac:dyDescent="0.25">
      <c r="P230" s="3"/>
    </row>
    <row r="231" spans="16:16" x14ac:dyDescent="0.25">
      <c r="P231" s="3"/>
    </row>
    <row r="232" spans="16:16" x14ac:dyDescent="0.25">
      <c r="P232" s="3"/>
    </row>
    <row r="233" spans="16:16" x14ac:dyDescent="0.25">
      <c r="P233" s="3"/>
    </row>
    <row r="234" spans="16:16" x14ac:dyDescent="0.25">
      <c r="P234" s="3"/>
    </row>
    <row r="235" spans="16:16" x14ac:dyDescent="0.25">
      <c r="P235" s="3"/>
    </row>
    <row r="236" spans="16:16" x14ac:dyDescent="0.25">
      <c r="P236" s="3"/>
    </row>
    <row r="237" spans="16:16" x14ac:dyDescent="0.25">
      <c r="P237" s="3"/>
    </row>
    <row r="238" spans="16:16" x14ac:dyDescent="0.25">
      <c r="P238" s="3"/>
    </row>
    <row r="239" spans="16:16" x14ac:dyDescent="0.25">
      <c r="P239" s="3"/>
    </row>
    <row r="240" spans="16:16" x14ac:dyDescent="0.25">
      <c r="P240" s="3"/>
    </row>
    <row r="241" spans="16:16" x14ac:dyDescent="0.25">
      <c r="P241" s="3"/>
    </row>
    <row r="242" spans="16:16" x14ac:dyDescent="0.25">
      <c r="P242" s="3"/>
    </row>
    <row r="243" spans="16:16" x14ac:dyDescent="0.25">
      <c r="P243" s="3"/>
    </row>
    <row r="244" spans="16:16" x14ac:dyDescent="0.25">
      <c r="P244" s="3"/>
    </row>
    <row r="245" spans="16:16" x14ac:dyDescent="0.25">
      <c r="P245" s="3"/>
    </row>
    <row r="246" spans="16:16" x14ac:dyDescent="0.25">
      <c r="P246" s="3"/>
    </row>
    <row r="247" spans="16:16" x14ac:dyDescent="0.25">
      <c r="P247" s="3"/>
    </row>
    <row r="248" spans="16:16" x14ac:dyDescent="0.25">
      <c r="P248" s="3"/>
    </row>
    <row r="249" spans="16:16" x14ac:dyDescent="0.25">
      <c r="P249" s="3"/>
    </row>
    <row r="250" spans="16:16" x14ac:dyDescent="0.25">
      <c r="P250" s="3"/>
    </row>
    <row r="251" spans="16:16" x14ac:dyDescent="0.25">
      <c r="P251" s="3"/>
    </row>
    <row r="252" spans="16:16" x14ac:dyDescent="0.25">
      <c r="P252" s="3"/>
    </row>
    <row r="253" spans="16:16" x14ac:dyDescent="0.25">
      <c r="P253" s="3"/>
    </row>
    <row r="254" spans="16:16" x14ac:dyDescent="0.25">
      <c r="P254" s="3"/>
    </row>
    <row r="255" spans="16:16" x14ac:dyDescent="0.25">
      <c r="P255" s="3"/>
    </row>
    <row r="256" spans="16:16" x14ac:dyDescent="0.25">
      <c r="P256" s="3"/>
    </row>
    <row r="257" spans="16:16" x14ac:dyDescent="0.25">
      <c r="P257" s="3"/>
    </row>
    <row r="258" spans="16:16" x14ac:dyDescent="0.25">
      <c r="P258" s="3"/>
    </row>
    <row r="259" spans="16:16" x14ac:dyDescent="0.25">
      <c r="P259" s="3"/>
    </row>
    <row r="260" spans="16:16" x14ac:dyDescent="0.25">
      <c r="P260" s="3"/>
    </row>
    <row r="261" spans="16:16" x14ac:dyDescent="0.25">
      <c r="P261" s="3"/>
    </row>
    <row r="262" spans="16:16" x14ac:dyDescent="0.25">
      <c r="P262" s="3"/>
    </row>
    <row r="263" spans="16:16" x14ac:dyDescent="0.25">
      <c r="P263" s="3"/>
    </row>
    <row r="264" spans="16:16" x14ac:dyDescent="0.25">
      <c r="P264" s="3"/>
    </row>
    <row r="265" spans="16:16" x14ac:dyDescent="0.25">
      <c r="P265" s="3"/>
    </row>
    <row r="266" spans="16:16" x14ac:dyDescent="0.25">
      <c r="P266" s="3"/>
    </row>
    <row r="267" spans="16:16" x14ac:dyDescent="0.25">
      <c r="P267" s="3"/>
    </row>
    <row r="268" spans="16:16" x14ac:dyDescent="0.25">
      <c r="P268" s="3"/>
    </row>
    <row r="269" spans="16:16" x14ac:dyDescent="0.25">
      <c r="P269" s="3"/>
    </row>
    <row r="270" spans="16:16" x14ac:dyDescent="0.25">
      <c r="P270" s="3"/>
    </row>
    <row r="271" spans="16:16" x14ac:dyDescent="0.25">
      <c r="P271" s="3"/>
    </row>
    <row r="272" spans="16:16" x14ac:dyDescent="0.25">
      <c r="P272" s="3"/>
    </row>
    <row r="273" spans="16:16" x14ac:dyDescent="0.25">
      <c r="P273" s="3"/>
    </row>
    <row r="274" spans="16:16" x14ac:dyDescent="0.25">
      <c r="P274" s="3"/>
    </row>
    <row r="275" spans="16:16" x14ac:dyDescent="0.25">
      <c r="P275" s="3"/>
    </row>
    <row r="276" spans="16:16" x14ac:dyDescent="0.25">
      <c r="P276" s="3"/>
    </row>
    <row r="277" spans="16:16" x14ac:dyDescent="0.25">
      <c r="P277" s="3"/>
    </row>
    <row r="278" spans="16:16" x14ac:dyDescent="0.25">
      <c r="P278" s="3"/>
    </row>
    <row r="279" spans="16:16" x14ac:dyDescent="0.25">
      <c r="P279" s="3"/>
    </row>
    <row r="280" spans="16:16" x14ac:dyDescent="0.25">
      <c r="P280" s="3"/>
    </row>
    <row r="281" spans="16:16" x14ac:dyDescent="0.25">
      <c r="P281" s="3"/>
    </row>
    <row r="282" spans="16:16" x14ac:dyDescent="0.25">
      <c r="P282" s="3"/>
    </row>
    <row r="283" spans="16:16" x14ac:dyDescent="0.25">
      <c r="P283" s="3"/>
    </row>
    <row r="284" spans="16:16" x14ac:dyDescent="0.25">
      <c r="P284" s="3"/>
    </row>
    <row r="285" spans="16:16" x14ac:dyDescent="0.25">
      <c r="P285" s="3"/>
    </row>
    <row r="286" spans="16:16" x14ac:dyDescent="0.25">
      <c r="P286" s="3"/>
    </row>
    <row r="287" spans="16:16" x14ac:dyDescent="0.25">
      <c r="P287" s="3"/>
    </row>
    <row r="288" spans="16:16" x14ac:dyDescent="0.25">
      <c r="P288" s="3"/>
    </row>
    <row r="289" spans="16:16" x14ac:dyDescent="0.25">
      <c r="P289" s="3"/>
    </row>
    <row r="290" spans="16:16" x14ac:dyDescent="0.25">
      <c r="P290" s="3"/>
    </row>
    <row r="291" spans="16:16" x14ac:dyDescent="0.25">
      <c r="P291" s="3"/>
    </row>
    <row r="292" spans="16:16" x14ac:dyDescent="0.25">
      <c r="P292" s="3"/>
    </row>
    <row r="293" spans="16:16" x14ac:dyDescent="0.25">
      <c r="P293" s="3"/>
    </row>
    <row r="294" spans="16:16" x14ac:dyDescent="0.25">
      <c r="P294" s="3"/>
    </row>
    <row r="295" spans="16:16" x14ac:dyDescent="0.25">
      <c r="P295" s="3"/>
    </row>
    <row r="296" spans="16:16" x14ac:dyDescent="0.25">
      <c r="P296" s="3"/>
    </row>
    <row r="297" spans="16:16" x14ac:dyDescent="0.25">
      <c r="P297" s="3"/>
    </row>
    <row r="298" spans="16:16" x14ac:dyDescent="0.25">
      <c r="P298" s="3"/>
    </row>
    <row r="299" spans="16:16" x14ac:dyDescent="0.25">
      <c r="P299" s="3"/>
    </row>
    <row r="300" spans="16:16" x14ac:dyDescent="0.25">
      <c r="P300" s="3"/>
    </row>
    <row r="301" spans="16:16" x14ac:dyDescent="0.25">
      <c r="P301" s="3"/>
    </row>
    <row r="302" spans="16:16" x14ac:dyDescent="0.25">
      <c r="P302" s="3"/>
    </row>
    <row r="303" spans="16:16" x14ac:dyDescent="0.25">
      <c r="P303" s="3"/>
    </row>
    <row r="304" spans="16:16" x14ac:dyDescent="0.25">
      <c r="P304" s="3"/>
    </row>
    <row r="305" spans="16:16" x14ac:dyDescent="0.25">
      <c r="P305" s="3"/>
    </row>
    <row r="306" spans="16:16" x14ac:dyDescent="0.25">
      <c r="P306" s="3"/>
    </row>
    <row r="307" spans="16:16" x14ac:dyDescent="0.25">
      <c r="P307" s="3"/>
    </row>
    <row r="308" spans="16:16" x14ac:dyDescent="0.25">
      <c r="P308" s="3"/>
    </row>
    <row r="309" spans="16:16" x14ac:dyDescent="0.25">
      <c r="P309" s="3"/>
    </row>
    <row r="310" spans="16:16" x14ac:dyDescent="0.25">
      <c r="P310" s="3"/>
    </row>
    <row r="311" spans="16:16" x14ac:dyDescent="0.25">
      <c r="P311" s="3"/>
    </row>
    <row r="312" spans="16:16" x14ac:dyDescent="0.25">
      <c r="P312" s="3"/>
    </row>
    <row r="313" spans="16:16" x14ac:dyDescent="0.25">
      <c r="P313" s="3"/>
    </row>
    <row r="314" spans="16:16" x14ac:dyDescent="0.25">
      <c r="P314" s="3"/>
    </row>
    <row r="315" spans="16:16" x14ac:dyDescent="0.25">
      <c r="P315" s="3"/>
    </row>
    <row r="316" spans="16:16" x14ac:dyDescent="0.25">
      <c r="P316" s="3"/>
    </row>
    <row r="317" spans="16:16" x14ac:dyDescent="0.25">
      <c r="P317" s="3"/>
    </row>
    <row r="318" spans="16:16" x14ac:dyDescent="0.25">
      <c r="P318" s="3"/>
    </row>
    <row r="319" spans="16:16" x14ac:dyDescent="0.25">
      <c r="P319" s="3"/>
    </row>
    <row r="320" spans="16:16" x14ac:dyDescent="0.25">
      <c r="P320" s="3"/>
    </row>
    <row r="321" spans="16:16" x14ac:dyDescent="0.25">
      <c r="P321" s="3"/>
    </row>
    <row r="322" spans="16:16" x14ac:dyDescent="0.25">
      <c r="P322" s="3"/>
    </row>
    <row r="323" spans="16:16" x14ac:dyDescent="0.25">
      <c r="P323" s="3"/>
    </row>
    <row r="324" spans="16:16" x14ac:dyDescent="0.25">
      <c r="P324" s="3"/>
    </row>
    <row r="325" spans="16:16" x14ac:dyDescent="0.25">
      <c r="P325" s="3"/>
    </row>
    <row r="326" spans="16:16" x14ac:dyDescent="0.25">
      <c r="P326" s="3"/>
    </row>
    <row r="327" spans="16:16" x14ac:dyDescent="0.25">
      <c r="P327" s="3"/>
    </row>
    <row r="328" spans="16:16" x14ac:dyDescent="0.25">
      <c r="P328" s="3"/>
    </row>
    <row r="329" spans="16:16" x14ac:dyDescent="0.25">
      <c r="P329" s="3"/>
    </row>
    <row r="330" spans="16:16" x14ac:dyDescent="0.25">
      <c r="P330" s="3"/>
    </row>
    <row r="331" spans="16:16" x14ac:dyDescent="0.25">
      <c r="P331" s="3"/>
    </row>
    <row r="332" spans="16:16" x14ac:dyDescent="0.25">
      <c r="P332" s="3"/>
    </row>
    <row r="333" spans="16:16" x14ac:dyDescent="0.25">
      <c r="P333" s="3"/>
    </row>
    <row r="334" spans="16:16" x14ac:dyDescent="0.25">
      <c r="P334" s="3"/>
    </row>
    <row r="335" spans="16:16" x14ac:dyDescent="0.25">
      <c r="P335" s="3"/>
    </row>
    <row r="336" spans="16:16" x14ac:dyDescent="0.25">
      <c r="P336" s="3"/>
    </row>
    <row r="337" spans="16:16" x14ac:dyDescent="0.25">
      <c r="P337" s="3"/>
    </row>
    <row r="338" spans="16:16" x14ac:dyDescent="0.25">
      <c r="P338" s="3"/>
    </row>
    <row r="339" spans="16:16" x14ac:dyDescent="0.25">
      <c r="P339" s="3"/>
    </row>
    <row r="340" spans="16:16" x14ac:dyDescent="0.25">
      <c r="P340" s="3"/>
    </row>
    <row r="341" spans="16:16" x14ac:dyDescent="0.25">
      <c r="P341" s="3"/>
    </row>
    <row r="342" spans="16:16" x14ac:dyDescent="0.25">
      <c r="P342" s="3"/>
    </row>
    <row r="343" spans="16:16" x14ac:dyDescent="0.25">
      <c r="P343" s="3"/>
    </row>
    <row r="344" spans="16:16" x14ac:dyDescent="0.25">
      <c r="P344" s="3"/>
    </row>
    <row r="883" spans="12:12" x14ac:dyDescent="0.25">
      <c r="L883" s="3"/>
    </row>
    <row r="884" spans="12:12" x14ac:dyDescent="0.25">
      <c r="L884" s="3"/>
    </row>
    <row r="885" spans="12:12" x14ac:dyDescent="0.25">
      <c r="L885" s="3"/>
    </row>
    <row r="886" spans="12:12" x14ac:dyDescent="0.25">
      <c r="L886" s="3"/>
    </row>
    <row r="887" spans="12:12" x14ac:dyDescent="0.25">
      <c r="L887" s="3"/>
    </row>
    <row r="888" spans="12:12" x14ac:dyDescent="0.25">
      <c r="L888" s="3"/>
    </row>
    <row r="889" spans="12:12" x14ac:dyDescent="0.25">
      <c r="L889" s="3"/>
    </row>
    <row r="890" spans="12:12" x14ac:dyDescent="0.25">
      <c r="L890" s="3"/>
    </row>
    <row r="891" spans="12:12" x14ac:dyDescent="0.25">
      <c r="L891" s="3"/>
    </row>
    <row r="892" spans="12:12" x14ac:dyDescent="0.25">
      <c r="L892" s="3"/>
    </row>
    <row r="893" spans="12:12" x14ac:dyDescent="0.25">
      <c r="L893" s="3"/>
    </row>
    <row r="894" spans="12:12" x14ac:dyDescent="0.25">
      <c r="L894" s="3"/>
    </row>
    <row r="895" spans="12:12" x14ac:dyDescent="0.25">
      <c r="L895" s="3"/>
    </row>
    <row r="896" spans="12:12" x14ac:dyDescent="0.25">
      <c r="L896" s="3"/>
    </row>
    <row r="897" spans="12:12" x14ac:dyDescent="0.25">
      <c r="L897" s="3"/>
    </row>
    <row r="898" spans="12:12" x14ac:dyDescent="0.25">
      <c r="L898" s="3"/>
    </row>
    <row r="899" spans="12:12" x14ac:dyDescent="0.25">
      <c r="L899" s="3"/>
    </row>
    <row r="900" spans="12:12" x14ac:dyDescent="0.25">
      <c r="L900" s="3"/>
    </row>
    <row r="901" spans="12:12" x14ac:dyDescent="0.25">
      <c r="L901" s="3"/>
    </row>
    <row r="902" spans="12:12" x14ac:dyDescent="0.25">
      <c r="L902" s="3"/>
    </row>
    <row r="903" spans="12:12" x14ac:dyDescent="0.25">
      <c r="L903" s="3"/>
    </row>
    <row r="904" spans="12:12" x14ac:dyDescent="0.25">
      <c r="L904" s="3"/>
    </row>
    <row r="905" spans="12:12" x14ac:dyDescent="0.25">
      <c r="L905" s="3"/>
    </row>
    <row r="906" spans="12:12" x14ac:dyDescent="0.25">
      <c r="L906" s="3"/>
    </row>
    <row r="907" spans="12:12" x14ac:dyDescent="0.25">
      <c r="L907" s="3"/>
    </row>
    <row r="908" spans="12:12" x14ac:dyDescent="0.25">
      <c r="L908" s="3"/>
    </row>
    <row r="909" spans="12:12" x14ac:dyDescent="0.25">
      <c r="L909" s="3"/>
    </row>
    <row r="910" spans="12:12" x14ac:dyDescent="0.25">
      <c r="L910" s="3"/>
    </row>
    <row r="911" spans="12:12" x14ac:dyDescent="0.25">
      <c r="L911" s="3"/>
    </row>
    <row r="912" spans="12:12" x14ac:dyDescent="0.25">
      <c r="L912" s="3"/>
    </row>
    <row r="913" spans="12:12" x14ac:dyDescent="0.25">
      <c r="L913" s="3"/>
    </row>
    <row r="914" spans="12:12" x14ac:dyDescent="0.25">
      <c r="L914" s="3"/>
    </row>
    <row r="915" spans="12:12" x14ac:dyDescent="0.25">
      <c r="L915" s="3"/>
    </row>
    <row r="916" spans="12:12" x14ac:dyDescent="0.25">
      <c r="L916" s="3"/>
    </row>
    <row r="917" spans="12:12" x14ac:dyDescent="0.25">
      <c r="L917" s="3"/>
    </row>
    <row r="918" spans="12:12" x14ac:dyDescent="0.25">
      <c r="L918" s="3"/>
    </row>
    <row r="919" spans="12:12" x14ac:dyDescent="0.25">
      <c r="L919" s="3"/>
    </row>
    <row r="920" spans="12:12" x14ac:dyDescent="0.25">
      <c r="L920" s="3"/>
    </row>
    <row r="921" spans="12:12" x14ac:dyDescent="0.25">
      <c r="L921" s="3"/>
    </row>
    <row r="922" spans="12:12" x14ac:dyDescent="0.25">
      <c r="L922" s="3"/>
    </row>
    <row r="923" spans="12:12" x14ac:dyDescent="0.25">
      <c r="L923" s="3"/>
    </row>
    <row r="924" spans="12:12" x14ac:dyDescent="0.25">
      <c r="L924" s="3"/>
    </row>
    <row r="925" spans="12:12" x14ac:dyDescent="0.25">
      <c r="L925" s="3"/>
    </row>
    <row r="926" spans="12:12" x14ac:dyDescent="0.25">
      <c r="L926" s="3"/>
    </row>
    <row r="927" spans="12:12" x14ac:dyDescent="0.25">
      <c r="L927" s="3"/>
    </row>
    <row r="928" spans="12:12" x14ac:dyDescent="0.25">
      <c r="L928" s="3"/>
    </row>
    <row r="929" spans="12:12" x14ac:dyDescent="0.25">
      <c r="L929" s="3"/>
    </row>
    <row r="930" spans="12:12" x14ac:dyDescent="0.25">
      <c r="L930" s="3"/>
    </row>
    <row r="931" spans="12:12" x14ac:dyDescent="0.25">
      <c r="L931" s="3"/>
    </row>
    <row r="932" spans="12:12" x14ac:dyDescent="0.25">
      <c r="L932" s="3"/>
    </row>
    <row r="933" spans="12:12" x14ac:dyDescent="0.25">
      <c r="L933" s="3"/>
    </row>
    <row r="934" spans="12:12" x14ac:dyDescent="0.25">
      <c r="L934" s="3"/>
    </row>
    <row r="935" spans="12:12" x14ac:dyDescent="0.25">
      <c r="L935" s="3"/>
    </row>
    <row r="936" spans="12:12" x14ac:dyDescent="0.25">
      <c r="L936" s="3"/>
    </row>
    <row r="937" spans="12:12" x14ac:dyDescent="0.25">
      <c r="L937" s="3"/>
    </row>
    <row r="938" spans="12:12" x14ac:dyDescent="0.25">
      <c r="L938" s="3"/>
    </row>
    <row r="939" spans="12:12" x14ac:dyDescent="0.25">
      <c r="L939" s="3"/>
    </row>
    <row r="940" spans="12:12" x14ac:dyDescent="0.25">
      <c r="L940" s="3"/>
    </row>
    <row r="941" spans="12:12" x14ac:dyDescent="0.25">
      <c r="L941" s="3"/>
    </row>
    <row r="942" spans="12:12" x14ac:dyDescent="0.25">
      <c r="L942" s="3"/>
    </row>
    <row r="943" spans="12:12" x14ac:dyDescent="0.25">
      <c r="L943" s="3"/>
    </row>
    <row r="944" spans="12:12" x14ac:dyDescent="0.25">
      <c r="L944" s="3"/>
    </row>
    <row r="945" spans="12:12" x14ac:dyDescent="0.25">
      <c r="L945" s="3"/>
    </row>
    <row r="946" spans="12:12" x14ac:dyDescent="0.25">
      <c r="L946" s="3"/>
    </row>
    <row r="947" spans="12:12" x14ac:dyDescent="0.25">
      <c r="L947" s="3"/>
    </row>
    <row r="948" spans="12:12" x14ac:dyDescent="0.25">
      <c r="L948" s="3"/>
    </row>
    <row r="949" spans="12:12" x14ac:dyDescent="0.25">
      <c r="L949" s="3"/>
    </row>
    <row r="950" spans="12:12" x14ac:dyDescent="0.25">
      <c r="L950" s="3"/>
    </row>
    <row r="951" spans="12:12" x14ac:dyDescent="0.25">
      <c r="L951" s="3"/>
    </row>
    <row r="952" spans="12:12" x14ac:dyDescent="0.25">
      <c r="L952" s="3"/>
    </row>
    <row r="953" spans="12:12" x14ac:dyDescent="0.25">
      <c r="L953" s="3"/>
    </row>
    <row r="954" spans="12:12" x14ac:dyDescent="0.25">
      <c r="L954" s="3"/>
    </row>
    <row r="955" spans="12:12" x14ac:dyDescent="0.25">
      <c r="L955" s="3"/>
    </row>
    <row r="956" spans="12:12" x14ac:dyDescent="0.25">
      <c r="L956" s="3"/>
    </row>
    <row r="957" spans="12:12" x14ac:dyDescent="0.25">
      <c r="L957" s="3"/>
    </row>
    <row r="958" spans="12:12" x14ac:dyDescent="0.25">
      <c r="L958" s="3"/>
    </row>
    <row r="959" spans="12:12" x14ac:dyDescent="0.25">
      <c r="L959" s="3"/>
    </row>
    <row r="960" spans="12:12" x14ac:dyDescent="0.25">
      <c r="L960" s="3"/>
    </row>
    <row r="961" spans="12:12" x14ac:dyDescent="0.25">
      <c r="L961" s="3"/>
    </row>
    <row r="962" spans="12:12" x14ac:dyDescent="0.25">
      <c r="L962" s="3"/>
    </row>
    <row r="963" spans="12:12" x14ac:dyDescent="0.25">
      <c r="L963" s="3"/>
    </row>
    <row r="964" spans="12:12" x14ac:dyDescent="0.25">
      <c r="L964" s="3"/>
    </row>
    <row r="965" spans="12:12" x14ac:dyDescent="0.25">
      <c r="L965" s="3"/>
    </row>
    <row r="966" spans="12:12" x14ac:dyDescent="0.25">
      <c r="L966" s="3"/>
    </row>
    <row r="967" spans="12:12" x14ac:dyDescent="0.25">
      <c r="L967" s="3"/>
    </row>
    <row r="968" spans="12:12" x14ac:dyDescent="0.25">
      <c r="L968" s="3"/>
    </row>
    <row r="969" spans="12:12" x14ac:dyDescent="0.25">
      <c r="L969" s="3"/>
    </row>
    <row r="970" spans="12:12" x14ac:dyDescent="0.25">
      <c r="L970" s="3"/>
    </row>
    <row r="971" spans="12:12" x14ac:dyDescent="0.25">
      <c r="L971" s="3"/>
    </row>
    <row r="972" spans="12:12" x14ac:dyDescent="0.25">
      <c r="L972" s="3"/>
    </row>
    <row r="973" spans="12:12" x14ac:dyDescent="0.25">
      <c r="L973" s="3"/>
    </row>
    <row r="974" spans="12:12" x14ac:dyDescent="0.25">
      <c r="L974" s="3"/>
    </row>
    <row r="975" spans="12:12" x14ac:dyDescent="0.25">
      <c r="L975" s="3"/>
    </row>
    <row r="976" spans="12:12" x14ac:dyDescent="0.25">
      <c r="L976" s="3"/>
    </row>
    <row r="977" spans="12:12" x14ac:dyDescent="0.25">
      <c r="L977" s="3"/>
    </row>
    <row r="978" spans="12:12" x14ac:dyDescent="0.25">
      <c r="L978" s="3"/>
    </row>
    <row r="979" spans="12:12" x14ac:dyDescent="0.25">
      <c r="L979" s="3"/>
    </row>
    <row r="980" spans="12:12" x14ac:dyDescent="0.25">
      <c r="L980" s="3"/>
    </row>
    <row r="981" spans="12:12" x14ac:dyDescent="0.25">
      <c r="L981" s="3"/>
    </row>
    <row r="982" spans="12:12" x14ac:dyDescent="0.25">
      <c r="L982" s="3"/>
    </row>
    <row r="983" spans="12:12" x14ac:dyDescent="0.25">
      <c r="L983" s="3"/>
    </row>
    <row r="984" spans="12:12" x14ac:dyDescent="0.25">
      <c r="L984" s="3"/>
    </row>
    <row r="985" spans="12:12" x14ac:dyDescent="0.25">
      <c r="L985" s="3"/>
    </row>
    <row r="986" spans="12:12" x14ac:dyDescent="0.25">
      <c r="L986" s="3"/>
    </row>
    <row r="987" spans="12:12" x14ac:dyDescent="0.25">
      <c r="L987" s="3"/>
    </row>
    <row r="988" spans="12:12" x14ac:dyDescent="0.25">
      <c r="L988" s="3"/>
    </row>
    <row r="989" spans="12:12" x14ac:dyDescent="0.25">
      <c r="L989" s="3"/>
    </row>
    <row r="990" spans="12:12" x14ac:dyDescent="0.25">
      <c r="L990" s="3"/>
    </row>
    <row r="991" spans="12:12" x14ac:dyDescent="0.25">
      <c r="L991" s="3"/>
    </row>
    <row r="992" spans="12:12" x14ac:dyDescent="0.25">
      <c r="L992" s="3"/>
    </row>
    <row r="993" spans="12:12" x14ac:dyDescent="0.25">
      <c r="L993" s="3"/>
    </row>
    <row r="994" spans="12:12" x14ac:dyDescent="0.25">
      <c r="L994" s="3"/>
    </row>
    <row r="995" spans="12:12" x14ac:dyDescent="0.25">
      <c r="L995" s="3"/>
    </row>
    <row r="996" spans="12:12" x14ac:dyDescent="0.25">
      <c r="L996" s="3"/>
    </row>
    <row r="997" spans="12:12" x14ac:dyDescent="0.25">
      <c r="L997" s="3"/>
    </row>
    <row r="998" spans="12:12" x14ac:dyDescent="0.25">
      <c r="L998" s="3"/>
    </row>
    <row r="999" spans="12:12" x14ac:dyDescent="0.25">
      <c r="L999" s="3"/>
    </row>
    <row r="1000" spans="12:12" x14ac:dyDescent="0.25">
      <c r="L1000" s="3"/>
    </row>
    <row r="1001" spans="12:12" x14ac:dyDescent="0.25">
      <c r="L1001" s="3"/>
    </row>
    <row r="1002" spans="12:12" x14ac:dyDescent="0.25">
      <c r="L1002" s="3"/>
    </row>
    <row r="1003" spans="12:12" x14ac:dyDescent="0.25">
      <c r="L1003" s="3"/>
    </row>
    <row r="1004" spans="12:12" x14ac:dyDescent="0.25">
      <c r="L1004" s="3"/>
    </row>
    <row r="1005" spans="12:12" x14ac:dyDescent="0.25">
      <c r="L1005" s="3"/>
    </row>
  </sheetData>
  <sortState xmlns:xlrd2="http://schemas.microsoft.com/office/spreadsheetml/2017/richdata2" ref="R7:R28">
    <sortCondition descending="1" ref="R7:R28"/>
  </sortState>
  <mergeCells count="1">
    <mergeCell ref="T5:V5"/>
  </mergeCells>
  <conditionalFormatting sqref="M7:M29">
    <cfRule type="cellIs" dxfId="3" priority="4" stopIfTrue="1" operator="equal">
      <formula>0</formula>
    </cfRule>
  </conditionalFormatting>
  <conditionalFormatting sqref="M7:M31">
    <cfRule type="cellIs" dxfId="2" priority="3" operator="greaterThan">
      <formula>0</formula>
    </cfRule>
  </conditionalFormatting>
  <conditionalFormatting sqref="R7:R28">
    <cfRule type="cellIs" dxfId="1" priority="1" stopIfTrue="1" operator="equal">
      <formula>0</formula>
    </cfRule>
    <cfRule type="cellIs" dxfId="0" priority="2" stopIfTrue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61295C-3C68-4FE8-A4BF-8F81B08DEE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Relatorio_p1</vt:lpstr>
      <vt:lpstr>Relatorio_p2</vt:lpstr>
      <vt:lpstr>Relatorio_p3</vt:lpstr>
      <vt:lpstr>Dashboard</vt:lpstr>
      <vt:lpstr>menu_relatorios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Silva</dc:creator>
  <cp:lastModifiedBy>Wanderson Silva</cp:lastModifiedBy>
  <dcterms:created xsi:type="dcterms:W3CDTF">2015-06-05T18:19:34Z</dcterms:created>
  <dcterms:modified xsi:type="dcterms:W3CDTF">2025-02-24T03:33:03Z</dcterms:modified>
</cp:coreProperties>
</file>